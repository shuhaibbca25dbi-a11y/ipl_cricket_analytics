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4"/>
  <workbookPr/>
  <mc:AlternateContent xmlns:mc="http://schemas.openxmlformats.org/markup-compatibility/2006">
    <mc:Choice Requires="x15">
      <x15ac:absPath xmlns:x15ac="http://schemas.microsoft.com/office/spreadsheetml/2010/11/ac" url="https://d.docs.live.net/ab93249ce0227fcb/Desktop/SEM 3/"/>
    </mc:Choice>
  </mc:AlternateContent>
  <xr:revisionPtr revIDLastSave="0" documentId="8_{F5B599AB-6011-4E22-90A7-8059A8E7A91D}" xr6:coauthVersionLast="47" xr6:coauthVersionMax="47" xr10:uidLastSave="{00000000-0000-0000-0000-000000000000}"/>
  <bookViews>
    <workbookView xWindow="-108" yWindow="-108" windowWidth="23256" windowHeight="12456" tabRatio="500" firstSheet="2" activeTab="2" xr2:uid="{00000000-000D-0000-FFFF-FFFF00000000}"/>
  </bookViews>
  <sheets>
    <sheet name="Instructions" sheetId="1" r:id="rId1"/>
    <sheet name="0. Dataset Overview" sheetId="2" r:id="rId2"/>
    <sheet name="1. Data Dictionary" sheetId="3" r:id="rId3"/>
    <sheet name="2. Relationships" sheetId="4" r:id="rId4"/>
    <sheet name="3. Data Quality Log" sheetId="5" r:id="rId5"/>
    <sheet name="4. Overall Summary" sheetId="6" r:id="rId6"/>
  </sheets>
  <definedNames>
    <definedName name="_xlnm._FilterDatabase" localSheetId="3" hidden="1">'2. Relationships'!$A$4:$F$4</definedName>
    <definedName name="_xlnm._FilterDatabase" localSheetId="4" hidden="1">'3. Data Quality Log'!$A$4:$F$4</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8" i="6" l="1"/>
  <c r="C7" i="6"/>
  <c r="C6" i="6"/>
  <c r="C5" i="6"/>
  <c r="A20" i="5"/>
  <c r="A19" i="5"/>
  <c r="A18" i="5"/>
  <c r="A17" i="5"/>
  <c r="A16" i="5"/>
  <c r="A15" i="5"/>
  <c r="A14" i="5"/>
  <c r="A13" i="5"/>
  <c r="A12" i="5"/>
  <c r="A11" i="5"/>
  <c r="A10" i="5"/>
  <c r="A9" i="5"/>
  <c r="A8" i="5"/>
  <c r="A7" i="5"/>
  <c r="A6" i="5"/>
</calcChain>
</file>

<file path=xl/sharedStrings.xml><?xml version="1.0" encoding="utf-8"?>
<sst xmlns="http://schemas.openxmlformats.org/spreadsheetml/2006/main" count="435" uniqueCount="269">
  <si>
    <t>Data Dictionary — Preparation Template</t>
  </si>
  <si>
    <t>Robomy OJT · Semester 3 · Step 1, Explore &amp; Requirements</t>
  </si>
  <si>
    <t>Purpose</t>
  </si>
  <si>
    <t>Before any query or code touches the data, you inspect it in Excel and record what it actually contains — every file, every sheet, every column, and what its values look like. This workbook is that record. It works the same way whatever project you've been assigned — the layout doesn't assume any particular file or domain.</t>
  </si>
  <si>
    <t>How to fill it in</t>
  </si>
  <si>
    <t>Work through the tabs in order — each one builds on the last.</t>
  </si>
  <si>
    <t>0. Dataset Overview</t>
  </si>
  <si>
    <t>One-time, project-level context: what the dataset is, where it came from, why it matters to the business.</t>
  </si>
  <si>
    <t>1. Data Dictionary</t>
  </si>
  <si>
    <t>The core tab. One block per file, and inside each block, one section per sheet. See below for how a block is laid out.</t>
  </si>
  <si>
    <t>2. Relationships</t>
  </si>
  <si>
    <t>How the files/tables connect to each other — the join keys. Every dataset in this programme is relational, so this tab is never empty.</t>
  </si>
  <si>
    <t>3. Data Quality Log</t>
  </si>
  <si>
    <t>Anything odd you notice while inspecting — missing values, inconsistent naming, duplicate rows, impossible values. Log it here as you go, don't wait.</t>
  </si>
  <si>
    <t>4. Overall Summary</t>
  </si>
  <si>
    <t>Fill this in last. A short, honest wrap-up of what you now know about the dataset and whether it's ready for the SQL step.</t>
  </si>
  <si>
    <t>How a Data Dictionary block is laid out</t>
  </si>
  <si>
    <t>Each FILE gets its own block, stacked one below the other down the sheet. A block has two kinds of section, in two different colours on purpose:
  FILE INFO (blue labels) — file name, description, format, size and sampling. Appears once per file, at the top of its block.
  SHEET (purple, navy and gold labels) — sheet name and description, then that sheet's real column headers typed out left to right exactly as they appear in the raw file, one per slot, with what each means, its type, its role as a key, sample values, distinct count, unique values if there are few, % missing, and any quality concern stacked directly beneath.
A CSV file has one sheet, so most blocks show FILE INFO followed by a single SHEET section. An XLSX file can have several — see the next point for what to do then.</t>
  </si>
  <si>
    <t>A file with more than one sheet?</t>
  </si>
  <si>
    <t>Don't repeat the FILE INFO — it's the same file. Instead, copy just the SHEET section (everything from 'SHEET NAME' down to the last 'Data Quality Notes' row — the purple/navy/gold rows only) and paste it directly below the first sheet's section, still above the next file's blue FILE INFO header. Repeat for each additional sheet. The colour change from blue to purple is exactly where that copy starts.</t>
  </si>
  <si>
    <t>More columns than the template allows for?</t>
  </si>
  <si>
    <t>Each SHEET section has 20 ready-made column slots. If a sheet has more columns than that, select the last slot column, copy it, and insert as many more as you need immediately to its left — the row labels and shading carry across automatically.</t>
  </si>
  <si>
    <t>More files than the template allows for?</t>
  </si>
  <si>
    <t>Only 2 file blocks are pre-built. If your dataset has more, select an entire blank block — FILE INFO plus its SHEET section, all rows — copy it, and paste it in below the last block. The Overall Summary formulas total the two built-in blocks only; add any extra files/sheets to those totals by hand.</t>
  </si>
  <si>
    <t>If a file is too large to open fully</t>
  </si>
  <si>
    <t>Excel opens up to ~1,048,576 rows, but a file at that size is unusable to inspect by eye. Do not skip the dictionary for a large file — sample it instead, and say so:
  1) In Excel: Data &gt; Get Data &gt; From Text/CSV, then load only the first ~5,000-10,000 rows.
  2) Or, if you're comfortable in Python: df.head(10000).to_csv('sample.csv') and open the sample.
  3) Record exactly what you did in the block's 'Sampling used?' field — e.g. 'First 10,000 of ~2.1M rows, ordered by original file order.' Never present a sampled file as if it were the full one.</t>
  </si>
  <si>
    <t>Colour key</t>
  </si>
  <si>
    <t>Yellow</t>
  </si>
  <si>
    <t>Cells you fill in.</t>
  </si>
  <si>
    <t>Grey italic</t>
  </si>
  <si>
    <t>A worked example block, using a generic sample retail dataset — not any real project — with two sheets, to show the sheet-copy pattern in action. Delete or overwrite it before submitting.</t>
  </si>
  <si>
    <t>Blue labels</t>
  </si>
  <si>
    <t>FILE INFO — once per file.</t>
  </si>
  <si>
    <t>Purple / Navy / Gold labels</t>
  </si>
  <si>
    <t>SHEET section — repeatable per sheet. Don't rename, reorder, or delete these labels; the trainer reviews multiple submissions against the same layout.</t>
  </si>
  <si>
    <t>One workbook per project</t>
  </si>
  <si>
    <t>Use one copy of this template for the whole dataset (all files/tables belonging to one project), not one per file. The Relationships tab only makes sense if every file is recorded in the same workbook.</t>
  </si>
  <si>
    <t>Fill in once, at project level. Applies to whichever dataset you've been assigned.</t>
  </si>
  <si>
    <t>Project name</t>
  </si>
  <si>
    <t>[e.g. the project/domain you were assigned]</t>
  </si>
  <si>
    <t>Trainee name</t>
  </si>
  <si>
    <t>[Your name]</t>
  </si>
  <si>
    <t>Date prepared</t>
  </si>
  <si>
    <t>[DD-MM-YYYY]</t>
  </si>
  <si>
    <t>Dataset source</t>
  </si>
  <si>
    <t>[e.g. Kaggle, client-provided export, company database]</t>
  </si>
  <si>
    <t>Business domain</t>
  </si>
  <si>
    <t>[e.g. Retail, Telecom, Banking, Healthcare, Transport, Education...]</t>
  </si>
  <si>
    <t>Business context — why this data matters</t>
  </si>
  <si>
    <t>[The business question your project is meant to help answer]</t>
  </si>
  <si>
    <t>Total files/tables in this dataset</t>
  </si>
  <si>
    <t>[Count]</t>
  </si>
  <si>
    <t>Total approximate size (all files combined)</t>
  </si>
  <si>
    <t>[e.g. 25 MB]</t>
  </si>
  <si>
    <t>Blue = file info, once per file. Purple/navy/gold = one sheet's worth of columns — copy just that part if a file has more than one sheet.</t>
  </si>
  <si>
    <t xml:space="preserve">File/Table Name </t>
  </si>
  <si>
    <t>deliveries.csv</t>
  </si>
  <si>
    <t>FILE DESCRIPTION</t>
  </si>
  <si>
    <t>Each row represent bowls delivered during IPL 2008-2026</t>
  </si>
  <si>
    <t>FILE STATS</t>
  </si>
  <si>
    <t>Format</t>
  </si>
  <si>
    <t>File Size</t>
  </si>
  <si>
    <t>Sampling used?</t>
  </si>
  <si>
    <t>csv</t>
  </si>
  <si>
    <t>44.44 MB</t>
  </si>
  <si>
    <t>No — full file opened.</t>
  </si>
  <si>
    <t>SHEET NAME</t>
  </si>
  <si>
    <t>deliveries</t>
  </si>
  <si>
    <t>SHEET DESCRIPTION</t>
  </si>
  <si>
    <t>Only sheet in the  table . Represent deliveries from IPL 2008-2026</t>
  </si>
  <si>
    <t>SHEET STATS</t>
  </si>
  <si>
    <t>Approx. Rows</t>
  </si>
  <si>
    <t>Approx. Cols</t>
  </si>
  <si>
    <t>COLUMN NAME  →</t>
  </si>
  <si>
    <t>season_id</t>
  </si>
  <si>
    <t>match_id</t>
  </si>
  <si>
    <t>batter</t>
  </si>
  <si>
    <t>bowler</t>
  </si>
  <si>
    <t>non_striker</t>
  </si>
  <si>
    <t>over_number</t>
  </si>
  <si>
    <t>ball_number</t>
  </si>
  <si>
    <t>batter_runs</t>
  </si>
  <si>
    <t>extras</t>
  </si>
  <si>
    <t>total_runs</t>
  </si>
  <si>
    <t>batsman_type</t>
  </si>
  <si>
    <t>bowler_type</t>
  </si>
  <si>
    <t>player_out</t>
  </si>
  <si>
    <t>fielders_involved</t>
  </si>
  <si>
    <t>is_wicket</t>
  </si>
  <si>
    <t>is_wide_ball</t>
  </si>
  <si>
    <t>is_no_ball</t>
  </si>
  <si>
    <t>is_leg_bye</t>
  </si>
  <si>
    <t>is_bye</t>
  </si>
  <si>
    <t>is_penalty</t>
  </si>
  <si>
    <t>wide_ball_runs</t>
  </si>
  <si>
    <t>no_ball_runs</t>
  </si>
  <si>
    <t>leg_bye_runs</t>
  </si>
  <si>
    <t>bye_runs</t>
  </si>
  <si>
    <t>penalty_runs</t>
  </si>
  <si>
    <t>wicket_kind</t>
  </si>
  <si>
    <t>is_super_over</t>
  </si>
  <si>
    <t>innings</t>
  </si>
  <si>
    <t>batting_team_id</t>
  </si>
  <si>
    <t>bowling_team_id</t>
  </si>
  <si>
    <t>batting_team</t>
  </si>
  <si>
    <t>bowling_team</t>
  </si>
  <si>
    <t>Business Description</t>
  </si>
  <si>
    <t>Identifies the IPL season of the match</t>
  </si>
  <si>
    <t>Unique identifier assigned to each IPL match</t>
  </si>
  <si>
    <t>Name of the batter facing the delivery</t>
  </si>
  <si>
    <t>Bowler delivering the ball</t>
  </si>
  <si>
    <t>Name of the batter at the non-striker end</t>
  </si>
  <si>
    <t>Indicates the over in which the ball was delivered</t>
  </si>
  <si>
    <t>Indicates the ball number within the over</t>
  </si>
  <si>
    <t>Runs scored by the batter from the delivery</t>
  </si>
  <si>
    <t>Extra runs awarded during the delivery</t>
  </si>
  <si>
    <t>Total runs scored from the delivery</t>
  </si>
  <si>
    <t>Indicates the batting style of the batter</t>
  </si>
  <si>
    <t>Indicates the bowling style of the bowler</t>
  </si>
  <si>
    <t>Name of the player dismissed on the delivery</t>
  </si>
  <si>
    <t>Names of fielders involved in the dismissal</t>
  </si>
  <si>
    <t>Indicates whether the delivery resulted in a wicket</t>
  </si>
  <si>
    <t>Indicates whether the delivery was a wide ball</t>
  </si>
  <si>
    <t>Indicates whether the delivery was a no-ball</t>
  </si>
  <si>
    <t>Indicates whether runs came from a leg bye</t>
  </si>
  <si>
    <t>Indicates whether runs came from a bye</t>
  </si>
  <si>
    <t>Indicates whether penalty runs were awarded</t>
  </si>
  <si>
    <t>Number of extra runs scored from wides</t>
  </si>
  <si>
    <t>Number of extra runs scored from no-balls</t>
  </si>
  <si>
    <t>Number of runs scored as leg byes</t>
  </si>
  <si>
    <t>Number of runs scored as byes</t>
  </si>
  <si>
    <t>Number of penalty runs awarded</t>
  </si>
  <si>
    <t>Describes the type of player dismissal</t>
  </si>
  <si>
    <t>Indicates whether the delivery was in a Super Over</t>
  </si>
  <si>
    <t>Indicates the innings number of the match</t>
  </si>
  <si>
    <t>Unique identifier of the team currently batting</t>
  </si>
  <si>
    <t>Unique identifier of the team currently bowling</t>
  </si>
  <si>
    <t>Name of the team currently batting</t>
  </si>
  <si>
    <t>Name of the team currently bowling</t>
  </si>
  <si>
    <t>Data Type</t>
  </si>
  <si>
    <t>General / Integer</t>
  </si>
  <si>
    <t>General / String</t>
  </si>
  <si>
    <t>General / Boolean</t>
  </si>
  <si>
    <t>Key Type</t>
  </si>
  <si>
    <t>None</t>
  </si>
  <si>
    <t>Primary Key</t>
  </si>
  <si>
    <t>Foreign Key</t>
  </si>
  <si>
    <t xml:space="preserve">None </t>
  </si>
  <si>
    <t>Sample Values</t>
  </si>
  <si>
    <t>2008,2009......</t>
  </si>
  <si>
    <t>335982, 335983......</t>
  </si>
  <si>
    <t>SC Ganguly, BB McCullum...</t>
  </si>
  <si>
    <t>P Kumar, Z Khan...</t>
  </si>
  <si>
    <t>BB McCullum, SC Ganguly...</t>
  </si>
  <si>
    <t>0, 1, 2...</t>
  </si>
  <si>
    <t>0, 1, 4, 6...</t>
  </si>
  <si>
    <t>0, 1, 5...</t>
  </si>
  <si>
    <t>Left hand Bat, Right hand Bat</t>
  </si>
  <si>
    <t>Right arm Medium, Left arm Fast medium...</t>
  </si>
  <si>
    <t>SC Ganguly, RT Ponting...</t>
  </si>
  <si>
    <t>JH Kallis, P Kumar...</t>
  </si>
  <si>
    <t>0, 1</t>
  </si>
  <si>
    <t>0, 1, 4...</t>
  </si>
  <si>
    <t>0, 5</t>
  </si>
  <si>
    <t>caught, bowled, run out...</t>
  </si>
  <si>
    <t>1, 2, 3...</t>
  </si>
  <si>
    <t>1, 2, 5, 6...</t>
  </si>
  <si>
    <t>1, 2, 4, 6...</t>
  </si>
  <si>
    <t>Kolkata Knight Riders, RCB...</t>
  </si>
  <si>
    <t>RCB, Kolkata Knight Riders...</t>
  </si>
  <si>
    <t>Distinct Count</t>
  </si>
  <si>
    <t>Unique Values (if ≤20)</t>
  </si>
  <si>
    <t>2008-2026</t>
  </si>
  <si>
    <t>—</t>
  </si>
  <si>
    <t>0–19</t>
  </si>
  <si>
    <t>0–10</t>
  </si>
  <si>
    <t>0, 1, 2, 3, 4, 5, 7</t>
  </si>
  <si>
    <t>0, 1, 2, 3, 4, 5, 6, 7</t>
  </si>
  <si>
    <t>0, 1, 2, 3, 4, 5</t>
  </si>
  <si>
    <t>0, 1, 2, 3, 5</t>
  </si>
  <si>
    <t>0, 1, 2, 3, 4</t>
  </si>
  <si>
    <t>caught, bowled, run out, lbw, caught and bowled, stumped, retired hurt, hit wicket, obstructing the field, retired out</t>
  </si>
  <si>
    <t>1, 2, 3, 4, 5, 6</t>
  </si>
  <si>
    <t>14 team IDs</t>
  </si>
  <si>
    <t>14 team names</t>
  </si>
  <si>
    <t>% Missing</t>
  </si>
  <si>
    <t>0%</t>
  </si>
  <si>
    <t>Data Quality Notes</t>
  </si>
  <si>
    <t>No missing values</t>
  </si>
  <si>
    <t>Valid over numbers</t>
  </si>
  <si>
    <t>Valid ball numbers</t>
  </si>
  <si>
    <t>Few missing values</t>
  </si>
  <si>
    <t>Missing values are expected when no dismissal occurs</t>
  </si>
  <si>
    <t>Missing values are expected when no fielder is involved</t>
  </si>
  <si>
    <t>Missing values are expected for non-wicket deliveries</t>
  </si>
  <si>
    <t>FILE / TABLE NAME</t>
  </si>
  <si>
    <t>Sample_Retail_Data.xlsx   (EXAMPLE — illustrative only, not a real project file)</t>
  </si>
  <si>
    <t>Client-style export covering retail transactions and refunds for a sample period.</t>
  </si>
  <si>
    <t>XLSX</t>
  </si>
  <si>
    <t>4.6 MB</t>
  </si>
  <si>
    <t>transactions</t>
  </si>
  <si>
    <t>One row per retail transaction: customer, product category, amount, date, payment method.</t>
  </si>
  <si>
    <t>transaction_id</t>
  </si>
  <si>
    <t>transaction_date</t>
  </si>
  <si>
    <t>category</t>
  </si>
  <si>
    <t>amount</t>
  </si>
  <si>
    <t>payment_method</t>
  </si>
  <si>
    <t>customer_id</t>
  </si>
  <si>
    <t>Unique ID for each transaction.</t>
  </si>
  <si>
    <t>Date the transaction occurred.</t>
  </si>
  <si>
    <t>Product category purchased.</t>
  </si>
  <si>
    <t>Transaction value, local currency.</t>
  </si>
  <si>
    <t>How the customer paid.</t>
  </si>
  <si>
    <t>Links to the customer master file.</t>
  </si>
  <si>
    <t>ID/Key</t>
  </si>
  <si>
    <t>Date/Time</t>
  </si>
  <si>
    <t>Categorical</t>
  </si>
  <si>
    <t>Currency</t>
  </si>
  <si>
    <t>TXN00001, TXN00002 ...</t>
  </si>
  <si>
    <t>01-01-2024, 02-01-2024 ...</t>
  </si>
  <si>
    <t>Electronics, Groceries ...</t>
  </si>
  <si>
    <t>499.00, 1250.50 ...</t>
  </si>
  <si>
    <t>Card, Cash, UPI</t>
  </si>
  <si>
    <t>CUST1001, CUST1002 ...</t>
  </si>
  <si>
    <t>Electronics, Groceries, Apparel, Home, Beauty, Sports, Books, Toys (8)</t>
  </si>
  <si>
    <t>Card, Cash, UPI (3)</t>
  </si>
  <si>
    <t>0.2%</t>
  </si>
  <si>
    <t>1.1%</t>
  </si>
  <si>
    <t>None.</t>
  </si>
  <si>
    <t>A few refund rows show negative amounts — confirm with data owner whether these belong in revenue totals.</t>
  </si>
  <si>
    <t>Missing where a transaction was a guest checkout — expected, not an error.</t>
  </si>
  <si>
    <t>How the files/tables join. Every dataset in this programme is relational — this tab should never be empty.</t>
  </si>
  <si>
    <t>Table A</t>
  </si>
  <si>
    <t>Key Column (A)</t>
  </si>
  <si>
    <t>Table B</t>
  </si>
  <si>
    <t>Key Column (B)</t>
  </si>
  <si>
    <t>Relationship Type</t>
  </si>
  <si>
    <t>Description</t>
  </si>
  <si>
    <t>Sample_Customers.csv</t>
  </si>
  <si>
    <t>Sample_Transactions.csv</t>
  </si>
  <si>
    <t>One-to-Many</t>
  </si>
  <si>
    <t>EXAMPLE — each customer can have many transactions.</t>
  </si>
  <si>
    <t>Log issues as you find them during inspection — don't wait until the end.</t>
  </si>
  <si>
    <t>#</t>
  </si>
  <si>
    <t>File / Column Affected</t>
  </si>
  <si>
    <t>Issue Description</t>
  </si>
  <si>
    <t>Severity</t>
  </si>
  <si>
    <t>Recommended Action</t>
  </si>
  <si>
    <t>Status</t>
  </si>
  <si>
    <t>Sample_Transactions.csv / amount</t>
  </si>
  <si>
    <t>A few refund rows show negative transaction amounts.</t>
  </si>
  <si>
    <t>Low</t>
  </si>
  <si>
    <t>Confirm with the data owner whether negative amounts should be excluded from revenue totals.</t>
  </si>
  <si>
    <t>Open</t>
  </si>
  <si>
    <t>Fill this in last, once tabs 0-3 are complete. Totals below cover the 2 built-in blocks only — add to them by hand if you copy-pasted extra files or sheets.</t>
  </si>
  <si>
    <t>Total files/tables catalogued (built-in blocks)</t>
  </si>
  <si>
    <t>Total rows across those files (approx.)</t>
  </si>
  <si>
    <t>Total columns catalogued (built-in blocks)</t>
  </si>
  <si>
    <t>Open data quality issues</t>
  </si>
  <si>
    <t>Key entities identified</t>
  </si>
  <si>
    <t>[e.g. Customer, Transaction, Product — whatever applies to your dataset]</t>
  </si>
  <si>
    <t>Overall data quality rating (Good / Fair / Poor) and why</t>
  </si>
  <si>
    <t>Is this dataset ready for the SQL step as-is?</t>
  </si>
  <si>
    <t>Yes / Partial / No — explain what's blocking, if anything</t>
  </si>
  <si>
    <t>Business questions this dataset can answer</t>
  </si>
  <si>
    <t>List the 3 you identified during exploration</t>
  </si>
  <si>
    <t>Business questions this dataset CANNOT answer (data not available)</t>
  </si>
  <si>
    <t>Prepared by</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</si>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</sst>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charset val="1"/>
    </font>
    <font>
      <b/>
      <sz val="16"/>
      <color rgb="FF143963"/>
      <name val="Arial"/>
      <charset val="1"/>
    </font>
    <font>
      <i/>
      <sz val="10"/>
      <color rgb="FF5F5E5A"/>
      <name val="Arial"/>
      <charset val="1"/>
    </font>
    <font>
      <b/>
      <sz val="10"/>
      <color rgb="FF143963"/>
      <name val="Arial"/>
      <charset val="1"/>
    </font>
    <font>
      <sz val="10"/>
      <color rgb="FF1A1A1A"/>
      <name val="Arial"/>
      <charset val="1"/>
    </font>
    <font>
      <sz val="10"/>
      <color rgb="FFFFFFFF"/>
      <name val="Arial"/>
      <charset val="1"/>
    </font>
    <font>
      <b/>
      <sz val="9.5"/>
      <color rgb="FFFFFFFF"/>
      <name val="Arial"/>
      <charset val="1"/>
    </font>
    <font>
      <b/>
      <sz val="8.5"/>
      <color rgb="FF5F5E5A"/>
      <name val="Arial"/>
      <charset val="1"/>
    </font>
    <font>
      <b/>
      <i/>
      <sz val="10"/>
      <color rgb="FF5F5E5A"/>
      <name val="Arial"/>
      <charset val="1"/>
    </font>
    <font>
      <b/>
      <sz val="9.5"/>
      <color rgb="FF1A1A1A"/>
      <name val="Arial"/>
      <charset val="1"/>
    </font>
    <font>
      <b/>
      <sz val="11"/>
      <color rgb="FFFFFFFF"/>
      <name val="Arial"/>
      <charset val="1"/>
    </font>
    <font>
      <i/>
      <sz val="10"/>
      <color rgb="FF5F5E5A"/>
      <name val="Arial"/>
    </font>
  </fonts>
  <fills count="9">
    <fill>
      <patternFill patternType="none"/>
    </fill>
    <fill>
      <patternFill patternType="gray125"/>
    </fill>
    <fill>
      <patternFill patternType="solid">
        <fgColor rgb="FFFFF2A8"/>
        <bgColor rgb="FFEAEAEA"/>
      </patternFill>
    </fill>
    <fill>
      <patternFill patternType="solid">
        <fgColor rgb="FFEAEAEA"/>
        <bgColor rgb="FFF0F3F7"/>
      </patternFill>
    </fill>
    <fill>
      <patternFill patternType="solid">
        <fgColor rgb="FF2E86DF"/>
        <bgColor rgb="FF5B6FBF"/>
      </patternFill>
    </fill>
    <fill>
      <patternFill patternType="solid">
        <fgColor rgb="FF5B6FBF"/>
        <bgColor rgb="FF2E86DF"/>
      </patternFill>
    </fill>
    <fill>
      <patternFill patternType="solid">
        <fgColor rgb="FFF0F3F7"/>
        <bgColor rgb="FFEAEAEA"/>
      </patternFill>
    </fill>
    <fill>
      <patternFill patternType="solid">
        <fgColor rgb="FF143963"/>
        <bgColor rgb="FF333399"/>
      </patternFill>
    </fill>
    <fill>
      <patternFill patternType="solid">
        <fgColor rgb="FFE0A020"/>
        <bgColor rgb="FFFFCC00"/>
      </patternFill>
    </fill>
  </fills>
  <borders count="3">
    <border>
      <left/>
      <right/>
      <top/>
      <bottom/>
      <diagonal/>
    </border>
    <border>
      <left style="thin">
        <color rgb="FFC9CFD8"/>
      </left>
      <right style="thin">
        <color rgb="FFC9CFD8"/>
      </right>
      <top style="thin">
        <color rgb="FFC9CFD8"/>
      </top>
      <bottom style="thin">
        <color rgb="FFC9CFD8"/>
      </bottom>
      <diagonal/>
    </border>
    <border>
      <left style="thin">
        <color rgb="FFC9CFD8"/>
      </left>
      <right style="thin">
        <color rgb="FFC9CFD8"/>
      </right>
      <top style="medium">
        <color rgb="FF143963"/>
      </top>
      <bottom style="thin">
        <color rgb="FFC9CFD8"/>
      </bottom>
      <diagonal/>
    </border>
  </borders>
  <cellStyleXfs count="1">
    <xf numFmtId="0" fontId="0" fillId="0" borderId="0"/>
  </cellStyleXfs>
  <cellXfs count="38">
    <xf numFmtId="0" fontId="0" fillId="0" borderId="0" xfId="0"/>
    <xf numFmtId="0" fontId="1" fillId="0" borderId="0" xfId="0" applyFont="1"/>
    <xf numFmtId="0" fontId="2" fillId="0" borderId="0" xfId="0" applyFont="1"/>
    <xf numFmtId="0" fontId="3" fillId="0" borderId="0" xfId="0" applyFont="1" applyAlignment="1">
      <alignment vertical="top" wrapText="1"/>
    </xf>
    <xf numFmtId="0" fontId="4" fillId="0" borderId="0" xfId="0" applyFont="1" applyAlignment="1">
      <alignment vertical="top" wrapText="1"/>
    </xf>
    <xf numFmtId="0" fontId="4" fillId="0" borderId="0" xfId="0" applyFont="1"/>
    <xf numFmtId="0" fontId="4" fillId="2" borderId="0" xfId="0" applyFont="1" applyFill="1"/>
    <xf numFmtId="0" fontId="2" fillId="3" borderId="0" xfId="0" applyFont="1" applyFill="1"/>
    <xf numFmtId="0" fontId="5" fillId="4" borderId="0" xfId="0" applyFont="1" applyFill="1"/>
    <xf numFmtId="0" fontId="5" fillId="5" borderId="0" xfId="0" applyFont="1" applyFill="1"/>
    <xf numFmtId="0" fontId="3" fillId="0" borderId="0" xfId="0" applyFont="1" applyAlignment="1">
      <alignment vertical="center" wrapText="1"/>
    </xf>
    <xf numFmtId="0" fontId="4" fillId="2" borderId="0" xfId="0" applyFont="1" applyFill="1" applyAlignment="1">
      <alignment vertical="center" wrapText="1"/>
    </xf>
    <xf numFmtId="0" fontId="6" fillId="4" borderId="1" xfId="0" applyFont="1" applyFill="1" applyBorder="1" applyAlignment="1">
      <alignment horizontal="left" vertical="center" wrapText="1" indent="1"/>
    </xf>
    <xf numFmtId="0" fontId="2" fillId="3" borderId="1" xfId="0" applyFont="1" applyFill="1" applyBorder="1"/>
    <xf numFmtId="0" fontId="6" fillId="5" borderId="1" xfId="0" applyFont="1" applyFill="1" applyBorder="1" applyAlignment="1">
      <alignment horizontal="left" vertical="center" wrapText="1" indent="1"/>
    </xf>
    <xf numFmtId="0" fontId="0" fillId="6" borderId="1" xfId="0" applyFill="1" applyBorder="1"/>
    <xf numFmtId="3" fontId="2" fillId="3" borderId="1" xfId="0" applyNumberFormat="1" applyFont="1" applyFill="1" applyBorder="1"/>
    <xf numFmtId="0" fontId="0" fillId="3" borderId="1" xfId="0" applyFill="1" applyBorder="1"/>
    <xf numFmtId="0" fontId="6" fillId="7" borderId="1" xfId="0" applyFont="1" applyFill="1" applyBorder="1" applyAlignment="1">
      <alignment horizontal="left" vertical="center" wrapText="1" indent="1"/>
    </xf>
    <xf numFmtId="0" fontId="8" fillId="3"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9" fillId="8" borderId="1" xfId="0" applyFont="1" applyFill="1" applyBorder="1" applyAlignment="1">
      <alignment horizontal="left" vertical="center" wrapText="1" indent="1"/>
    </xf>
    <xf numFmtId="3" fontId="2" fillId="3" borderId="1" xfId="0" applyNumberFormat="1" applyFont="1" applyFill="1" applyBorder="1" applyAlignment="1">
      <alignment horizontal="left" vertical="center" wrapText="1"/>
    </xf>
    <xf numFmtId="0" fontId="4" fillId="2" borderId="1" xfId="0" applyFont="1" applyFill="1" applyBorder="1" applyAlignment="1">
      <alignment horizontal="left" vertical="center" wrapText="1"/>
    </xf>
    <xf numFmtId="0" fontId="10" fillId="7" borderId="1" xfId="0" applyFont="1" applyFill="1" applyBorder="1" applyAlignment="1">
      <alignment horizontal="center" vertical="center" wrapText="1"/>
    </xf>
    <xf numFmtId="0" fontId="3" fillId="0" borderId="0" xfId="0" applyFont="1"/>
    <xf numFmtId="3" fontId="4" fillId="0" borderId="0" xfId="0" applyNumberFormat="1" applyFont="1"/>
    <xf numFmtId="0" fontId="4" fillId="2" borderId="0" xfId="0" applyFont="1" applyFill="1" applyAlignment="1">
      <alignment vertical="top" wrapText="1"/>
    </xf>
    <xf numFmtId="0" fontId="0" fillId="2" borderId="0" xfId="0" applyFill="1"/>
    <xf numFmtId="0" fontId="11" fillId="3" borderId="1" xfId="0" applyFont="1" applyFill="1" applyBorder="1" applyAlignment="1">
      <alignment horizontal="left" vertical="center" wrapText="1"/>
    </xf>
    <xf numFmtId="9" fontId="2" fillId="3" borderId="1" xfId="0" applyNumberFormat="1" applyFont="1" applyFill="1" applyBorder="1" applyAlignment="1">
      <alignment horizontal="left" vertical="center" wrapText="1"/>
    </xf>
    <xf numFmtId="10" fontId="2" fillId="3" borderId="1" xfId="0" applyNumberFormat="1" applyFont="1" applyFill="1" applyBorder="1" applyAlignment="1">
      <alignment horizontal="left" vertical="center" wrapText="1"/>
    </xf>
    <xf numFmtId="0" fontId="7" fillId="6" borderId="1" xfId="0" applyFont="1" applyFill="1" applyBorder="1" applyAlignment="1">
      <alignment horizontal="left" vertical="center"/>
    </xf>
    <xf numFmtId="0" fontId="2" fillId="3" borderId="1" xfId="0" applyFont="1" applyFill="1" applyBorder="1" applyAlignment="1">
      <alignment horizontal="left" vertical="center" wrapText="1" indent="1"/>
    </xf>
    <xf numFmtId="0" fontId="2" fillId="3" borderId="2" xfId="0" applyFont="1" applyFill="1" applyBorder="1" applyAlignment="1">
      <alignment horizontal="left" vertical="center" wrapText="1" indent="1"/>
    </xf>
    <xf numFmtId="0" fontId="1" fillId="0" borderId="0" xfId="0" applyFont="1" applyAlignment="1"/>
    <xf numFmtId="0" fontId="2" fillId="0" borderId="0" xfId="0" applyFont="1" applyAlignment="1"/>
    <xf numFmtId="0" fontId="7" fillId="6"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5F5E5A"/>
      <rgbColor rgb="FF9999FF"/>
      <rgbColor rgb="FF993366"/>
      <rgbColor rgb="FFF0F3F7"/>
      <rgbColor rgb="FFEAEAEA"/>
      <rgbColor rgb="FF660066"/>
      <rgbColor rgb="FFFF8080"/>
      <rgbColor rgb="FF0066CC"/>
      <rgbColor rgb="FFC9CFD8"/>
      <rgbColor rgb="FF000080"/>
      <rgbColor rgb="FFFF00FF"/>
      <rgbColor rgb="FFFFFF00"/>
      <rgbColor rgb="FF00FFFF"/>
      <rgbColor rgb="FF800080"/>
      <rgbColor rgb="FF800000"/>
      <rgbColor rgb="FF008080"/>
      <rgbColor rgb="FF0000FF"/>
      <rgbColor rgb="FF00CCFF"/>
      <rgbColor rgb="FFCCFFFF"/>
      <rgbColor rgb="FFCCFFCC"/>
      <rgbColor rgb="FFFFF2A8"/>
      <rgbColor rgb="FF99CCFF"/>
      <rgbColor rgb="FFFF99CC"/>
      <rgbColor rgb="FFCC99FF"/>
      <rgbColor rgb="FFFFCC99"/>
      <rgbColor rgb="FF2E86DF"/>
      <rgbColor rgb="FF33CCCC"/>
      <rgbColor rgb="FF99CC00"/>
      <rgbColor rgb="FFFFCC00"/>
      <rgbColor rgb="FFE0A020"/>
      <rgbColor rgb="FFFF6600"/>
      <rgbColor rgb="FF5B6FBF"/>
      <rgbColor rgb="FF969696"/>
      <rgbColor rgb="FF143963"/>
      <rgbColor rgb="FF339966"/>
      <rgbColor rgb="FF003300"/>
      <rgbColor rgb="FF333300"/>
      <rgbColor rgb="FF993300"/>
      <rgbColor rgb="FF993366"/>
      <rgbColor rgb="FF333399"/>
      <rgbColor rgb="FF1A1A1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43963"/>
    <pageSetUpPr fitToPage="1"/>
  </sheetPr>
  <dimension ref="B2:C31"/>
  <sheetViews>
    <sheetView showGridLines="0" zoomScaleNormal="100" workbookViewId="0"/>
  </sheetViews>
  <sheetFormatPr defaultColWidth="8.7109375" defaultRowHeight="14.45"/>
  <cols>
    <col min="1" max="1" width="3" customWidth="1"/>
    <col min="2" max="2" width="34" customWidth="1"/>
    <col min="3" max="3" width="92" customWidth="1"/>
  </cols>
  <sheetData>
    <row r="2" spans="2:3" ht="21">
      <c r="B2" s="1" t="s">
        <v>0</v>
      </c>
    </row>
    <row r="3" spans="2:3">
      <c r="B3" s="2" t="s">
        <v>1</v>
      </c>
    </row>
    <row r="5" spans="2:3" ht="39.6">
      <c r="B5" s="3" t="s">
        <v>2</v>
      </c>
      <c r="C5" s="4" t="s">
        <v>3</v>
      </c>
    </row>
    <row r="7" spans="2:3">
      <c r="B7" s="3" t="s">
        <v>4</v>
      </c>
      <c r="C7" s="5" t="s">
        <v>5</v>
      </c>
    </row>
    <row r="8" spans="2:3">
      <c r="B8" s="4" t="s">
        <v>6</v>
      </c>
      <c r="C8" s="4" t="s">
        <v>7</v>
      </c>
    </row>
    <row r="9" spans="2:3" ht="26.45">
      <c r="B9" s="4" t="s">
        <v>8</v>
      </c>
      <c r="C9" s="4" t="s">
        <v>9</v>
      </c>
    </row>
    <row r="10" spans="2:3" ht="26.45">
      <c r="B10" s="4" t="s">
        <v>10</v>
      </c>
      <c r="C10" s="4" t="s">
        <v>11</v>
      </c>
    </row>
    <row r="11" spans="2:3" ht="26.45">
      <c r="B11" s="4" t="s">
        <v>12</v>
      </c>
      <c r="C11" s="4" t="s">
        <v>13</v>
      </c>
    </row>
    <row r="12" spans="2:3" ht="26.45">
      <c r="B12" s="4" t="s">
        <v>14</v>
      </c>
      <c r="C12" s="4" t="s">
        <v>15</v>
      </c>
    </row>
    <row r="14" spans="2:3" ht="144.75" customHeight="1">
      <c r="B14" s="3" t="s">
        <v>16</v>
      </c>
      <c r="C14" s="4" t="s">
        <v>17</v>
      </c>
    </row>
    <row r="16" spans="2:3" ht="64.5" customHeight="1">
      <c r="B16" s="3" t="s">
        <v>18</v>
      </c>
      <c r="C16" s="4" t="s">
        <v>19</v>
      </c>
    </row>
    <row r="18" spans="2:3" ht="49.5" customHeight="1">
      <c r="B18" s="3" t="s">
        <v>20</v>
      </c>
      <c r="C18" s="4" t="s">
        <v>21</v>
      </c>
    </row>
    <row r="20" spans="2:3" ht="64.5" customHeight="1">
      <c r="B20" s="3" t="s">
        <v>22</v>
      </c>
      <c r="C20" s="4" t="s">
        <v>23</v>
      </c>
    </row>
    <row r="22" spans="2:3" ht="90" customHeight="1">
      <c r="B22" s="3" t="s">
        <v>24</v>
      </c>
      <c r="C22" s="4" t="s">
        <v>25</v>
      </c>
    </row>
    <row r="24" spans="2:3">
      <c r="B24" s="3" t="s">
        <v>26</v>
      </c>
    </row>
    <row r="25" spans="2:3">
      <c r="B25" s="6" t="s">
        <v>27</v>
      </c>
      <c r="C25" s="5" t="s">
        <v>28</v>
      </c>
    </row>
    <row r="26" spans="2:3" ht="26.45">
      <c r="B26" s="7" t="s">
        <v>29</v>
      </c>
      <c r="C26" s="4" t="s">
        <v>30</v>
      </c>
    </row>
    <row r="27" spans="2:3">
      <c r="B27" s="8" t="s">
        <v>31</v>
      </c>
      <c r="C27" s="5" t="s">
        <v>32</v>
      </c>
    </row>
    <row r="28" spans="2:3" ht="26.45">
      <c r="B28" s="9" t="s">
        <v>33</v>
      </c>
      <c r="C28" s="4" t="s">
        <v>34</v>
      </c>
    </row>
    <row r="31" spans="2:3" ht="26.45">
      <c r="B31" s="3" t="s">
        <v>35</v>
      </c>
      <c r="C31" s="4" t="s">
        <v>36</v>
      </c>
    </row>
  </sheetData>
  <pageMargins left="0.3" right="0.3" top="0.4" bottom="0.4"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3963"/>
    <pageSetUpPr fitToPage="1"/>
  </sheetPr>
  <dimension ref="B2:C12"/>
  <sheetViews>
    <sheetView showGridLines="0" zoomScaleNormal="100" workbookViewId="0">
      <selection activeCell="B6" sqref="B6"/>
    </sheetView>
  </sheetViews>
  <sheetFormatPr defaultColWidth="8.7109375" defaultRowHeight="14.45"/>
  <cols>
    <col min="1" max="1" width="3" customWidth="1"/>
    <col min="2" max="2" width="30" customWidth="1"/>
    <col min="3" max="3" width="70" customWidth="1"/>
  </cols>
  <sheetData>
    <row r="2" spans="2:3" ht="21">
      <c r="B2" s="1" t="s">
        <v>6</v>
      </c>
    </row>
    <row r="3" spans="2:3">
      <c r="B3" s="2" t="s">
        <v>37</v>
      </c>
    </row>
    <row r="5" spans="2:3" ht="19.5" customHeight="1">
      <c r="B5" s="10" t="s">
        <v>38</v>
      </c>
      <c r="C5" s="11" t="s">
        <v>39</v>
      </c>
    </row>
    <row r="6" spans="2:3" ht="19.5" customHeight="1">
      <c r="B6" s="10" t="s">
        <v>40</v>
      </c>
      <c r="C6" s="11" t="s">
        <v>41</v>
      </c>
    </row>
    <row r="7" spans="2:3" ht="19.5" customHeight="1">
      <c r="B7" s="10" t="s">
        <v>42</v>
      </c>
      <c r="C7" s="11" t="s">
        <v>43</v>
      </c>
    </row>
    <row r="8" spans="2:3" ht="19.5" customHeight="1">
      <c r="B8" s="10" t="s">
        <v>44</v>
      </c>
      <c r="C8" s="11" t="s">
        <v>45</v>
      </c>
    </row>
    <row r="9" spans="2:3" ht="19.5" customHeight="1">
      <c r="B9" s="10" t="s">
        <v>46</v>
      </c>
      <c r="C9" s="11" t="s">
        <v>47</v>
      </c>
    </row>
    <row r="10" spans="2:3" ht="31.5" customHeight="1">
      <c r="B10" s="10" t="s">
        <v>48</v>
      </c>
      <c r="C10" s="11" t="s">
        <v>49</v>
      </c>
    </row>
    <row r="11" spans="2:3" ht="19.5" customHeight="1">
      <c r="B11" s="10" t="s">
        <v>50</v>
      </c>
      <c r="C11" s="11" t="s">
        <v>51</v>
      </c>
    </row>
    <row r="12" spans="2:3" ht="31.5" customHeight="1">
      <c r="B12" s="10" t="s">
        <v>52</v>
      </c>
      <c r="C12" s="11" t="s">
        <v>53</v>
      </c>
    </row>
  </sheetData>
  <pageMargins left="0.3" right="0.3" top="0.4" bottom="0.4"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43963"/>
    <pageSetUpPr fitToPage="1"/>
  </sheetPr>
  <dimension ref="A1:AH43"/>
  <sheetViews>
    <sheetView showGridLines="0" tabSelected="1" zoomScaleNormal="100" workbookViewId="0">
      <pane xSplit="1" ySplit="3" topLeftCell="S7" activePane="bottomRight" state="frozen"/>
      <selection pane="bottomRight" activeCell="AE16" sqref="AE16"/>
      <selection pane="bottomLeft" activeCell="A4" sqref="A4"/>
      <selection pane="topRight" activeCell="B1" sqref="B1"/>
    </sheetView>
  </sheetViews>
  <sheetFormatPr defaultColWidth="8.7109375" defaultRowHeight="14.45"/>
  <cols>
    <col min="1" max="1" width="26" customWidth="1"/>
    <col min="2" max="14" width="14" customWidth="1"/>
    <col min="15" max="15" width="15.140625" customWidth="1"/>
    <col min="16" max="21" width="14" customWidth="1"/>
    <col min="22" max="22" width="13.7109375" customWidth="1"/>
    <col min="23" max="23" width="12.7109375" customWidth="1"/>
    <col min="24" max="24" width="13.42578125" customWidth="1"/>
    <col min="25" max="25" width="10.85546875" customWidth="1"/>
    <col min="26" max="26" width="12" customWidth="1"/>
    <col min="27" max="27" width="11.140625" customWidth="1"/>
    <col min="28" max="28" width="13.28515625" customWidth="1"/>
    <col min="30" max="30" width="14.42578125" customWidth="1"/>
    <col min="31" max="31" width="15.140625" customWidth="1"/>
    <col min="32" max="32" width="13.42578125" customWidth="1"/>
    <col min="33" max="33" width="13.140625" customWidth="1"/>
  </cols>
  <sheetData>
    <row r="1" spans="1:34" ht="21">
      <c r="A1" s="35" t="s">
        <v>8</v>
      </c>
      <c r="B1" s="35"/>
      <c r="C1" s="35"/>
      <c r="D1" s="35"/>
      <c r="E1" s="35"/>
      <c r="F1" s="35"/>
      <c r="G1" s="35"/>
      <c r="H1" s="35"/>
      <c r="I1" s="35"/>
      <c r="J1" s="35"/>
      <c r="K1" s="35"/>
      <c r="L1" s="35"/>
      <c r="M1" s="35"/>
      <c r="N1" s="35"/>
      <c r="O1" s="35"/>
      <c r="P1" s="35"/>
      <c r="Q1" s="35"/>
      <c r="R1" s="35"/>
      <c r="S1" s="35"/>
      <c r="T1" s="35"/>
      <c r="U1" s="35"/>
    </row>
    <row r="2" spans="1:34">
      <c r="A2" s="36" t="s">
        <v>54</v>
      </c>
      <c r="B2" s="36"/>
      <c r="C2" s="36"/>
      <c r="D2" s="36"/>
      <c r="E2" s="36"/>
      <c r="F2" s="36"/>
      <c r="G2" s="36"/>
      <c r="H2" s="36"/>
      <c r="I2" s="36"/>
      <c r="J2" s="36"/>
      <c r="K2" s="36"/>
      <c r="L2" s="36"/>
      <c r="M2" s="36"/>
      <c r="N2" s="36"/>
      <c r="O2" s="36"/>
      <c r="P2" s="36"/>
      <c r="Q2" s="36"/>
      <c r="R2" s="36"/>
      <c r="S2" s="36"/>
      <c r="T2" s="36"/>
      <c r="U2" s="36"/>
    </row>
    <row r="4" spans="1:34" ht="15">
      <c r="A4" s="12" t="s">
        <v>55</v>
      </c>
      <c r="B4" s="34" t="s">
        <v>56</v>
      </c>
      <c r="C4" s="34"/>
      <c r="D4" s="34"/>
      <c r="E4" s="34"/>
      <c r="F4" s="34"/>
      <c r="G4" s="34"/>
      <c r="H4" s="34"/>
      <c r="I4" s="34"/>
      <c r="J4" s="34"/>
      <c r="K4" s="34"/>
      <c r="L4" s="34"/>
      <c r="M4" s="34"/>
      <c r="N4" s="34"/>
      <c r="O4" s="34"/>
      <c r="P4" s="34"/>
      <c r="Q4" s="34"/>
      <c r="R4" s="34"/>
      <c r="S4" s="34"/>
      <c r="T4" s="34"/>
      <c r="U4" s="34"/>
    </row>
    <row r="5" spans="1:34" ht="15" customHeight="1">
      <c r="A5" s="12" t="s">
        <v>57</v>
      </c>
      <c r="B5" s="33" t="s">
        <v>58</v>
      </c>
      <c r="C5" s="33"/>
      <c r="D5" s="33"/>
      <c r="E5" s="33"/>
      <c r="F5" s="33"/>
      <c r="G5" s="33"/>
      <c r="H5" s="33"/>
      <c r="I5" s="33"/>
      <c r="J5" s="33"/>
      <c r="K5" s="33"/>
      <c r="L5" s="33"/>
      <c r="M5" s="33"/>
      <c r="N5" s="33"/>
      <c r="O5" s="33"/>
      <c r="P5" s="33"/>
      <c r="Q5" s="33"/>
      <c r="R5" s="33"/>
      <c r="S5" s="33"/>
      <c r="T5" s="33"/>
      <c r="U5" s="33"/>
    </row>
    <row r="6" spans="1:34" ht="13.5" customHeight="1">
      <c r="A6" s="12" t="s">
        <v>59</v>
      </c>
      <c r="B6" s="32" t="s">
        <v>60</v>
      </c>
      <c r="C6" s="32" t="s">
        <v>61</v>
      </c>
      <c r="D6" s="37" t="s">
        <v>62</v>
      </c>
      <c r="E6" s="37"/>
      <c r="F6" s="37"/>
      <c r="G6" s="37"/>
      <c r="H6" s="37"/>
      <c r="I6" s="37"/>
      <c r="J6" s="37"/>
      <c r="K6" s="37"/>
      <c r="L6" s="37"/>
      <c r="M6" s="37"/>
      <c r="N6" s="37"/>
      <c r="O6" s="37"/>
      <c r="P6" s="37"/>
      <c r="Q6" s="37"/>
      <c r="R6" s="37"/>
      <c r="S6" s="37"/>
      <c r="T6" s="37"/>
      <c r="U6" s="37"/>
    </row>
    <row r="7" spans="1:34" ht="15" customHeight="1">
      <c r="A7" s="12"/>
      <c r="B7" s="13" t="s">
        <v>63</v>
      </c>
      <c r="C7" s="13" t="s">
        <v>64</v>
      </c>
      <c r="D7" s="33" t="s">
        <v>65</v>
      </c>
      <c r="E7" s="33"/>
      <c r="F7" s="33"/>
      <c r="G7" s="33"/>
      <c r="H7" s="33"/>
      <c r="I7" s="33"/>
      <c r="J7" s="33"/>
      <c r="K7" s="33"/>
      <c r="L7" s="33"/>
      <c r="M7" s="33"/>
      <c r="N7" s="33"/>
      <c r="O7" s="33"/>
      <c r="P7" s="33"/>
      <c r="Q7" s="33"/>
      <c r="R7" s="33"/>
      <c r="S7" s="33"/>
      <c r="T7" s="33"/>
      <c r="U7" s="33"/>
    </row>
    <row r="8" spans="1:34" ht="15" customHeight="1">
      <c r="A8" s="14" t="s">
        <v>66</v>
      </c>
      <c r="B8" s="34" t="s">
        <v>67</v>
      </c>
      <c r="C8" s="34"/>
      <c r="D8" s="34"/>
      <c r="E8" s="34"/>
      <c r="F8" s="34"/>
      <c r="G8" s="34"/>
      <c r="H8" s="34"/>
      <c r="I8" s="34"/>
      <c r="J8" s="34"/>
      <c r="K8" s="34"/>
      <c r="L8" s="34"/>
      <c r="M8" s="34"/>
      <c r="N8" s="34"/>
      <c r="O8" s="34"/>
      <c r="P8" s="34"/>
      <c r="Q8" s="34"/>
      <c r="R8" s="34"/>
      <c r="S8" s="34"/>
      <c r="T8" s="34"/>
      <c r="U8" s="34"/>
    </row>
    <row r="9" spans="1:34" ht="15" customHeight="1">
      <c r="A9" s="14" t="s">
        <v>68</v>
      </c>
      <c r="B9" s="33" t="s">
        <v>69</v>
      </c>
      <c r="C9" s="33"/>
      <c r="D9" s="33"/>
      <c r="E9" s="33"/>
      <c r="F9" s="33"/>
      <c r="G9" s="33"/>
      <c r="H9" s="33"/>
      <c r="I9" s="33"/>
      <c r="J9" s="33"/>
      <c r="K9" s="33"/>
      <c r="L9" s="33"/>
      <c r="M9" s="33"/>
      <c r="N9" s="33"/>
      <c r="O9" s="33"/>
      <c r="P9" s="33"/>
      <c r="Q9" s="33"/>
      <c r="R9" s="33"/>
      <c r="S9" s="33"/>
      <c r="T9" s="33"/>
      <c r="U9" s="33"/>
    </row>
    <row r="10" spans="1:34" ht="13.5" customHeight="1">
      <c r="A10" s="14" t="s">
        <v>70</v>
      </c>
      <c r="B10" s="32" t="s">
        <v>71</v>
      </c>
      <c r="C10" s="32" t="s">
        <v>72</v>
      </c>
      <c r="D10" s="15"/>
      <c r="E10" s="15"/>
      <c r="F10" s="15"/>
      <c r="G10" s="15"/>
      <c r="H10" s="15"/>
      <c r="I10" s="15"/>
      <c r="J10" s="15"/>
      <c r="K10" s="15"/>
      <c r="L10" s="15"/>
      <c r="M10" s="15"/>
      <c r="N10" s="15"/>
      <c r="O10" s="15"/>
      <c r="P10" s="15"/>
      <c r="Q10" s="15"/>
      <c r="R10" s="15"/>
      <c r="S10" s="15"/>
      <c r="T10" s="15"/>
      <c r="U10" s="15"/>
    </row>
    <row r="11" spans="1:34">
      <c r="A11" s="14"/>
      <c r="B11" s="16">
        <v>288226</v>
      </c>
      <c r="C11" s="16">
        <v>32</v>
      </c>
      <c r="D11" s="17"/>
      <c r="E11" s="17"/>
      <c r="F11" s="17"/>
      <c r="G11" s="17"/>
      <c r="H11" s="17"/>
      <c r="I11" s="17"/>
      <c r="J11" s="17"/>
      <c r="K11" s="17"/>
      <c r="L11" s="17"/>
      <c r="M11" s="17"/>
      <c r="N11" s="17"/>
      <c r="O11" s="17"/>
      <c r="P11" s="17"/>
      <c r="Q11" s="17"/>
      <c r="R11" s="17"/>
      <c r="S11" s="17"/>
      <c r="T11" s="17"/>
      <c r="U11" s="17"/>
    </row>
    <row r="12" spans="1:34" ht="6" customHeight="1"/>
    <row r="13" spans="1:34" ht="24">
      <c r="A13" s="18" t="s">
        <v>73</v>
      </c>
      <c r="B13" s="19" t="s">
        <v>74</v>
      </c>
      <c r="C13" s="19" t="s">
        <v>75</v>
      </c>
      <c r="D13" s="19" t="s">
        <v>76</v>
      </c>
      <c r="E13" s="19" t="s">
        <v>77</v>
      </c>
      <c r="F13" s="19" t="s">
        <v>78</v>
      </c>
      <c r="G13" s="19" t="s">
        <v>79</v>
      </c>
      <c r="H13" s="19" t="s">
        <v>80</v>
      </c>
      <c r="I13" s="19" t="s">
        <v>81</v>
      </c>
      <c r="J13" s="19" t="s">
        <v>82</v>
      </c>
      <c r="K13" s="19" t="s">
        <v>83</v>
      </c>
      <c r="L13" s="19" t="s">
        <v>84</v>
      </c>
      <c r="M13" s="19" t="s">
        <v>85</v>
      </c>
      <c r="N13" s="19" t="s">
        <v>86</v>
      </c>
      <c r="O13" s="19" t="s">
        <v>87</v>
      </c>
      <c r="P13" s="19" t="s">
        <v>88</v>
      </c>
      <c r="Q13" s="19" t="s">
        <v>89</v>
      </c>
      <c r="R13" s="19" t="s">
        <v>90</v>
      </c>
      <c r="S13" s="19" t="s">
        <v>91</v>
      </c>
      <c r="T13" s="19" t="s">
        <v>92</v>
      </c>
      <c r="U13" s="19" t="s">
        <v>93</v>
      </c>
      <c r="V13" s="19" t="s">
        <v>94</v>
      </c>
      <c r="W13" s="19" t="s">
        <v>95</v>
      </c>
      <c r="X13" s="19" t="s">
        <v>96</v>
      </c>
      <c r="Y13" s="19" t="s">
        <v>97</v>
      </c>
      <c r="Z13" s="19" t="s">
        <v>98</v>
      </c>
      <c r="AA13" s="19" t="s">
        <v>99</v>
      </c>
      <c r="AB13" s="19" t="s">
        <v>100</v>
      </c>
      <c r="AC13" s="19" t="s">
        <v>101</v>
      </c>
      <c r="AD13" s="19" t="s">
        <v>102</v>
      </c>
      <c r="AE13" s="19" t="s">
        <v>103</v>
      </c>
      <c r="AF13" s="19" t="s">
        <v>104</v>
      </c>
      <c r="AG13" s="19" t="s">
        <v>105</v>
      </c>
      <c r="AH13" s="19"/>
    </row>
    <row r="14" spans="1:34" ht="72">
      <c r="A14" s="18" t="s">
        <v>106</v>
      </c>
      <c r="B14" s="20" t="s">
        <v>107</v>
      </c>
      <c r="C14" s="20" t="s">
        <v>108</v>
      </c>
      <c r="D14" s="20" t="s">
        <v>109</v>
      </c>
      <c r="E14" s="20" t="s">
        <v>110</v>
      </c>
      <c r="F14" s="20" t="s">
        <v>111</v>
      </c>
      <c r="G14" s="20" t="s">
        <v>112</v>
      </c>
      <c r="H14" s="20" t="s">
        <v>113</v>
      </c>
      <c r="I14" s="20" t="s">
        <v>114</v>
      </c>
      <c r="J14" s="20" t="s">
        <v>115</v>
      </c>
      <c r="K14" s="20" t="s">
        <v>116</v>
      </c>
      <c r="L14" s="20" t="s">
        <v>117</v>
      </c>
      <c r="M14" s="20" t="s">
        <v>118</v>
      </c>
      <c r="N14" s="20" t="s">
        <v>119</v>
      </c>
      <c r="O14" s="20" t="s">
        <v>120</v>
      </c>
      <c r="P14" s="20" t="s">
        <v>121</v>
      </c>
      <c r="Q14" s="20" t="s">
        <v>122</v>
      </c>
      <c r="R14" s="20" t="s">
        <v>123</v>
      </c>
      <c r="S14" s="20" t="s">
        <v>124</v>
      </c>
      <c r="T14" s="20" t="s">
        <v>125</v>
      </c>
      <c r="U14" s="20" t="s">
        <v>126</v>
      </c>
      <c r="V14" s="20" t="s">
        <v>127</v>
      </c>
      <c r="W14" s="20" t="s">
        <v>128</v>
      </c>
      <c r="X14" s="20" t="s">
        <v>129</v>
      </c>
      <c r="Y14" s="20" t="s">
        <v>130</v>
      </c>
      <c r="Z14" s="20" t="s">
        <v>131</v>
      </c>
      <c r="AA14" s="20" t="s">
        <v>132</v>
      </c>
      <c r="AB14" s="20" t="s">
        <v>133</v>
      </c>
      <c r="AC14" s="20" t="s">
        <v>134</v>
      </c>
      <c r="AD14" s="20" t="s">
        <v>135</v>
      </c>
      <c r="AE14" s="20" t="s">
        <v>136</v>
      </c>
      <c r="AF14" s="20" t="s">
        <v>137</v>
      </c>
      <c r="AG14" s="20" t="s">
        <v>138</v>
      </c>
      <c r="AH14" s="20"/>
    </row>
    <row r="15" spans="1:34" ht="24">
      <c r="A15" s="18" t="s">
        <v>139</v>
      </c>
      <c r="B15" s="20" t="s">
        <v>140</v>
      </c>
      <c r="C15" s="20" t="s">
        <v>140</v>
      </c>
      <c r="D15" s="20" t="s">
        <v>141</v>
      </c>
      <c r="E15" s="20" t="s">
        <v>141</v>
      </c>
      <c r="F15" s="20" t="s">
        <v>141</v>
      </c>
      <c r="G15" s="20" t="s">
        <v>140</v>
      </c>
      <c r="H15" s="20" t="s">
        <v>140</v>
      </c>
      <c r="I15" s="20" t="s">
        <v>140</v>
      </c>
      <c r="J15" s="20" t="s">
        <v>140</v>
      </c>
      <c r="K15" s="20" t="s">
        <v>140</v>
      </c>
      <c r="L15" s="20" t="s">
        <v>141</v>
      </c>
      <c r="M15" s="20" t="s">
        <v>141</v>
      </c>
      <c r="N15" s="20" t="s">
        <v>141</v>
      </c>
      <c r="O15" s="20" t="s">
        <v>141</v>
      </c>
      <c r="P15" s="20" t="s">
        <v>142</v>
      </c>
      <c r="Q15" s="20" t="s">
        <v>142</v>
      </c>
      <c r="R15" s="20" t="s">
        <v>142</v>
      </c>
      <c r="S15" s="20" t="s">
        <v>142</v>
      </c>
      <c r="T15" s="20" t="s">
        <v>142</v>
      </c>
      <c r="U15" s="20" t="s">
        <v>142</v>
      </c>
      <c r="V15" s="20" t="s">
        <v>140</v>
      </c>
      <c r="W15" s="20" t="s">
        <v>140</v>
      </c>
      <c r="X15" s="20" t="s">
        <v>140</v>
      </c>
      <c r="Y15" s="20" t="s">
        <v>140</v>
      </c>
      <c r="Z15" s="20" t="s">
        <v>140</v>
      </c>
      <c r="AA15" s="20" t="s">
        <v>141</v>
      </c>
      <c r="AB15" s="20" t="s">
        <v>142</v>
      </c>
      <c r="AC15" s="20" t="s">
        <v>140</v>
      </c>
      <c r="AD15" s="20" t="s">
        <v>140</v>
      </c>
      <c r="AE15" s="20" t="s">
        <v>140</v>
      </c>
      <c r="AF15" s="20" t="s">
        <v>141</v>
      </c>
      <c r="AG15" s="20" t="s">
        <v>141</v>
      </c>
      <c r="AH15" s="20"/>
    </row>
    <row r="16" spans="1:34" ht="24">
      <c r="A16" s="18" t="s">
        <v>143</v>
      </c>
      <c r="B16" s="20" t="s">
        <v>144</v>
      </c>
      <c r="C16" s="20" t="s">
        <v>145</v>
      </c>
      <c r="D16" s="20" t="s">
        <v>144</v>
      </c>
      <c r="E16" s="20" t="s">
        <v>144</v>
      </c>
      <c r="F16" s="20" t="s">
        <v>144</v>
      </c>
      <c r="G16" s="20" t="s">
        <v>145</v>
      </c>
      <c r="H16" s="20" t="s">
        <v>145</v>
      </c>
      <c r="I16" s="20" t="s">
        <v>144</v>
      </c>
      <c r="J16" s="20" t="s">
        <v>144</v>
      </c>
      <c r="K16" s="20" t="s">
        <v>144</v>
      </c>
      <c r="L16" s="20" t="s">
        <v>144</v>
      </c>
      <c r="M16" s="20" t="s">
        <v>144</v>
      </c>
      <c r="N16" s="20" t="s">
        <v>144</v>
      </c>
      <c r="O16" s="20" t="s">
        <v>144</v>
      </c>
      <c r="P16" s="20" t="s">
        <v>144</v>
      </c>
      <c r="Q16" s="20" t="s">
        <v>144</v>
      </c>
      <c r="R16" s="20" t="s">
        <v>144</v>
      </c>
      <c r="S16" s="20" t="s">
        <v>144</v>
      </c>
      <c r="T16" s="20" t="s">
        <v>144</v>
      </c>
      <c r="U16" s="20" t="s">
        <v>144</v>
      </c>
      <c r="V16" s="20" t="s">
        <v>144</v>
      </c>
      <c r="W16" s="20" t="s">
        <v>144</v>
      </c>
      <c r="X16" s="20" t="s">
        <v>144</v>
      </c>
      <c r="Y16" s="20" t="s">
        <v>144</v>
      </c>
      <c r="Z16" s="20" t="s">
        <v>144</v>
      </c>
      <c r="AA16" s="20" t="s">
        <v>144</v>
      </c>
      <c r="AB16" s="20" t="s">
        <v>144</v>
      </c>
      <c r="AC16" s="20" t="s">
        <v>145</v>
      </c>
      <c r="AD16" s="20" t="s">
        <v>146</v>
      </c>
      <c r="AE16" s="20" t="s">
        <v>146</v>
      </c>
      <c r="AF16" s="20" t="s">
        <v>147</v>
      </c>
      <c r="AG16" s="20" t="s">
        <v>144</v>
      </c>
      <c r="AH16" s="20"/>
    </row>
    <row r="17" spans="1:34" ht="48">
      <c r="A17" s="21" t="s">
        <v>148</v>
      </c>
      <c r="B17" s="20" t="s">
        <v>149</v>
      </c>
      <c r="C17" s="20" t="s">
        <v>150</v>
      </c>
      <c r="D17" s="20" t="s">
        <v>151</v>
      </c>
      <c r="E17" s="20" t="s">
        <v>152</v>
      </c>
      <c r="F17" s="20" t="s">
        <v>153</v>
      </c>
      <c r="G17" s="20" t="s">
        <v>154</v>
      </c>
      <c r="H17" s="20" t="s">
        <v>154</v>
      </c>
      <c r="I17" s="20" t="s">
        <v>155</v>
      </c>
      <c r="J17" s="20" t="s">
        <v>156</v>
      </c>
      <c r="K17" s="20" t="s">
        <v>155</v>
      </c>
      <c r="L17" s="20" t="s">
        <v>157</v>
      </c>
      <c r="M17" s="20" t="s">
        <v>158</v>
      </c>
      <c r="N17" s="20" t="s">
        <v>159</v>
      </c>
      <c r="O17" s="20" t="s">
        <v>160</v>
      </c>
      <c r="P17" s="20" t="s">
        <v>161</v>
      </c>
      <c r="Q17" s="20" t="s">
        <v>161</v>
      </c>
      <c r="R17" s="20" t="s">
        <v>161</v>
      </c>
      <c r="S17" s="20" t="s">
        <v>161</v>
      </c>
      <c r="T17" s="20" t="s">
        <v>161</v>
      </c>
      <c r="U17" s="20" t="s">
        <v>161</v>
      </c>
      <c r="V17" s="20" t="s">
        <v>156</v>
      </c>
      <c r="W17" s="20" t="s">
        <v>154</v>
      </c>
      <c r="X17" s="20" t="s">
        <v>162</v>
      </c>
      <c r="Y17" s="29" t="s">
        <v>162</v>
      </c>
      <c r="Z17" s="20" t="s">
        <v>163</v>
      </c>
      <c r="AA17" s="20" t="s">
        <v>164</v>
      </c>
      <c r="AB17" s="20" t="s">
        <v>161</v>
      </c>
      <c r="AC17" s="20" t="s">
        <v>165</v>
      </c>
      <c r="AD17" s="20" t="s">
        <v>166</v>
      </c>
      <c r="AE17" s="20" t="s">
        <v>167</v>
      </c>
      <c r="AF17" s="20" t="s">
        <v>168</v>
      </c>
      <c r="AG17" s="20" t="s">
        <v>169</v>
      </c>
      <c r="AH17" s="20"/>
    </row>
    <row r="18" spans="1:34" ht="15">
      <c r="A18" s="21" t="s">
        <v>170</v>
      </c>
      <c r="B18" s="22">
        <v>19</v>
      </c>
      <c r="C18" s="22">
        <v>1212</v>
      </c>
      <c r="D18" s="22">
        <v>727</v>
      </c>
      <c r="E18" s="22">
        <v>568</v>
      </c>
      <c r="F18" s="22">
        <v>715</v>
      </c>
      <c r="G18" s="22">
        <v>20</v>
      </c>
      <c r="H18" s="22">
        <v>11</v>
      </c>
      <c r="I18" s="22">
        <v>7</v>
      </c>
      <c r="J18" s="22">
        <v>7</v>
      </c>
      <c r="K18" s="22">
        <v>8</v>
      </c>
      <c r="L18" s="22">
        <v>2</v>
      </c>
      <c r="M18" s="22">
        <v>21</v>
      </c>
      <c r="N18" s="22">
        <v>676</v>
      </c>
      <c r="O18" s="22">
        <v>1129</v>
      </c>
      <c r="P18" s="22">
        <v>2</v>
      </c>
      <c r="Q18" s="22">
        <v>2</v>
      </c>
      <c r="R18" s="22">
        <v>2</v>
      </c>
      <c r="S18" s="22">
        <v>2</v>
      </c>
      <c r="T18" s="22">
        <v>2</v>
      </c>
      <c r="U18" s="22">
        <v>2</v>
      </c>
      <c r="V18" s="22">
        <v>6</v>
      </c>
      <c r="W18" s="22">
        <v>5</v>
      </c>
      <c r="X18" s="22">
        <v>6</v>
      </c>
      <c r="Y18" s="22">
        <v>5</v>
      </c>
      <c r="Z18" s="22">
        <v>2</v>
      </c>
      <c r="AA18" s="22">
        <v>10</v>
      </c>
      <c r="AB18" s="22">
        <v>2</v>
      </c>
      <c r="AC18" s="22">
        <v>6</v>
      </c>
      <c r="AD18" s="22">
        <v>14</v>
      </c>
      <c r="AE18" s="22">
        <v>14</v>
      </c>
      <c r="AF18" s="22">
        <v>14</v>
      </c>
      <c r="AG18" s="22">
        <v>14</v>
      </c>
      <c r="AH18" s="22"/>
    </row>
    <row r="19" spans="1:34" ht="130.5">
      <c r="A19" s="21" t="s">
        <v>171</v>
      </c>
      <c r="B19" s="20" t="s">
        <v>172</v>
      </c>
      <c r="C19" s="20" t="s">
        <v>173</v>
      </c>
      <c r="D19" s="20" t="s">
        <v>173</v>
      </c>
      <c r="E19" s="20" t="s">
        <v>173</v>
      </c>
      <c r="F19" s="20" t="s">
        <v>173</v>
      </c>
      <c r="G19" s="20" t="s">
        <v>173</v>
      </c>
      <c r="H19" s="20" t="s">
        <v>174</v>
      </c>
      <c r="I19" s="20" t="s">
        <v>175</v>
      </c>
      <c r="J19" s="20" t="s">
        <v>176</v>
      </c>
      <c r="K19" s="20" t="s">
        <v>177</v>
      </c>
      <c r="L19" s="20" t="s">
        <v>157</v>
      </c>
      <c r="M19" s="20" t="s">
        <v>173</v>
      </c>
      <c r="N19" s="20" t="s">
        <v>173</v>
      </c>
      <c r="O19" s="20" t="s">
        <v>173</v>
      </c>
      <c r="P19" s="20" t="s">
        <v>161</v>
      </c>
      <c r="Q19" s="20" t="s">
        <v>161</v>
      </c>
      <c r="R19" s="20" t="s">
        <v>161</v>
      </c>
      <c r="S19" s="20" t="s">
        <v>161</v>
      </c>
      <c r="T19" s="20" t="s">
        <v>161</v>
      </c>
      <c r="U19" s="20" t="s">
        <v>161</v>
      </c>
      <c r="V19" s="20" t="s">
        <v>178</v>
      </c>
      <c r="W19" s="20" t="s">
        <v>179</v>
      </c>
      <c r="X19" s="20" t="s">
        <v>178</v>
      </c>
      <c r="Y19" s="20" t="s">
        <v>180</v>
      </c>
      <c r="Z19" s="20" t="s">
        <v>163</v>
      </c>
      <c r="AA19" s="20" t="s">
        <v>181</v>
      </c>
      <c r="AB19" s="20" t="s">
        <v>161</v>
      </c>
      <c r="AC19" s="20" t="s">
        <v>182</v>
      </c>
      <c r="AD19" s="20" t="s">
        <v>183</v>
      </c>
      <c r="AE19" s="20" t="s">
        <v>183</v>
      </c>
      <c r="AF19" s="20" t="s">
        <v>184</v>
      </c>
      <c r="AG19" s="20" t="s">
        <v>184</v>
      </c>
      <c r="AH19" s="20"/>
    </row>
    <row r="20" spans="1:34" ht="15">
      <c r="A20" s="21" t="s">
        <v>185</v>
      </c>
      <c r="B20" s="30">
        <v>0</v>
      </c>
      <c r="C20" s="20" t="s">
        <v>186</v>
      </c>
      <c r="D20" s="20" t="s">
        <v>186</v>
      </c>
      <c r="E20" s="20" t="s">
        <v>186</v>
      </c>
      <c r="F20" s="20" t="s">
        <v>186</v>
      </c>
      <c r="G20" s="20" t="s">
        <v>186</v>
      </c>
      <c r="H20" s="20" t="s">
        <v>186</v>
      </c>
      <c r="I20" s="20" t="s">
        <v>186</v>
      </c>
      <c r="J20" s="20" t="s">
        <v>186</v>
      </c>
      <c r="K20" s="30">
        <v>0</v>
      </c>
      <c r="L20" s="31">
        <v>8.0000000000000004E-4</v>
      </c>
      <c r="M20" s="31">
        <v>1.1999999999999999E-3</v>
      </c>
      <c r="N20" s="31">
        <v>0.95020000000000004</v>
      </c>
      <c r="O20" s="31">
        <v>0.95020000000000004</v>
      </c>
      <c r="P20" s="30">
        <v>0</v>
      </c>
      <c r="Q20" s="30">
        <v>0</v>
      </c>
      <c r="R20" s="30">
        <v>0</v>
      </c>
      <c r="S20" s="30">
        <v>0</v>
      </c>
      <c r="T20" s="30">
        <v>0</v>
      </c>
      <c r="U20" s="30">
        <v>0</v>
      </c>
      <c r="V20" s="30">
        <v>0</v>
      </c>
      <c r="W20" s="30">
        <v>0</v>
      </c>
      <c r="X20" s="30">
        <v>0</v>
      </c>
      <c r="Y20" s="30">
        <v>0</v>
      </c>
      <c r="Z20" s="30">
        <v>0</v>
      </c>
      <c r="AA20" s="30">
        <v>0</v>
      </c>
      <c r="AB20" s="30">
        <v>0</v>
      </c>
      <c r="AC20" s="30">
        <v>0</v>
      </c>
      <c r="AD20" s="31">
        <v>0.95020000000000004</v>
      </c>
      <c r="AE20" s="30">
        <v>0</v>
      </c>
      <c r="AF20" s="30">
        <v>0</v>
      </c>
      <c r="AG20" s="30">
        <v>0</v>
      </c>
      <c r="AH20" s="20"/>
    </row>
    <row r="21" spans="1:34" ht="60">
      <c r="A21" s="21" t="s">
        <v>187</v>
      </c>
      <c r="B21" s="20" t="s">
        <v>188</v>
      </c>
      <c r="C21" s="20" t="s">
        <v>188</v>
      </c>
      <c r="D21" s="20" t="s">
        <v>188</v>
      </c>
      <c r="E21" s="20" t="s">
        <v>188</v>
      </c>
      <c r="F21" s="20" t="s">
        <v>188</v>
      </c>
      <c r="G21" s="20" t="s">
        <v>189</v>
      </c>
      <c r="H21" s="20" t="s">
        <v>190</v>
      </c>
      <c r="I21" s="20" t="s">
        <v>188</v>
      </c>
      <c r="J21" s="20" t="s">
        <v>188</v>
      </c>
      <c r="K21" s="20" t="s">
        <v>188</v>
      </c>
      <c r="L21" s="20" t="s">
        <v>191</v>
      </c>
      <c r="M21" s="20" t="s">
        <v>191</v>
      </c>
      <c r="N21" s="20" t="s">
        <v>192</v>
      </c>
      <c r="O21" s="20" t="s">
        <v>193</v>
      </c>
      <c r="P21" s="20" t="s">
        <v>188</v>
      </c>
      <c r="Q21" s="20" t="s">
        <v>188</v>
      </c>
      <c r="R21" s="20" t="s">
        <v>188</v>
      </c>
      <c r="S21" s="20" t="s">
        <v>188</v>
      </c>
      <c r="T21" s="20" t="s">
        <v>188</v>
      </c>
      <c r="U21" s="20" t="s">
        <v>188</v>
      </c>
      <c r="V21" s="20" t="s">
        <v>188</v>
      </c>
      <c r="W21" s="20" t="s">
        <v>188</v>
      </c>
      <c r="X21" s="20" t="s">
        <v>188</v>
      </c>
      <c r="Y21" s="20" t="s">
        <v>188</v>
      </c>
      <c r="Z21" s="20" t="s">
        <v>188</v>
      </c>
      <c r="AA21" s="20" t="s">
        <v>194</v>
      </c>
      <c r="AB21" s="20" t="s">
        <v>188</v>
      </c>
      <c r="AC21" s="20" t="s">
        <v>188</v>
      </c>
      <c r="AD21" s="20" t="s">
        <v>188</v>
      </c>
      <c r="AE21" s="20" t="s">
        <v>188</v>
      </c>
      <c r="AF21" s="20" t="s">
        <v>188</v>
      </c>
      <c r="AG21" s="20" t="s">
        <v>188</v>
      </c>
      <c r="AH21" s="20"/>
    </row>
    <row r="22" spans="1:34" ht="9.75" customHeight="1"/>
    <row r="23" spans="1:34" ht="9.75" customHeight="1"/>
    <row r="25" spans="1:34" ht="15" thickBot="1"/>
    <row r="26" spans="1:34">
      <c r="A26" s="12" t="s">
        <v>195</v>
      </c>
      <c r="B26" s="34" t="s">
        <v>196</v>
      </c>
      <c r="C26" s="34"/>
      <c r="D26" s="34"/>
      <c r="E26" s="34"/>
      <c r="F26" s="34"/>
      <c r="G26" s="34"/>
      <c r="H26" s="34"/>
      <c r="I26" s="34"/>
      <c r="J26" s="34"/>
      <c r="K26" s="34"/>
      <c r="L26" s="34"/>
      <c r="M26" s="34"/>
      <c r="N26" s="34"/>
      <c r="O26" s="34"/>
      <c r="P26" s="34"/>
      <c r="Q26" s="34"/>
      <c r="R26" s="34"/>
      <c r="S26" s="34"/>
      <c r="T26" s="34"/>
      <c r="U26" s="34"/>
    </row>
    <row r="27" spans="1:34">
      <c r="A27" s="12" t="s">
        <v>57</v>
      </c>
      <c r="B27" s="33" t="s">
        <v>197</v>
      </c>
      <c r="C27" s="33"/>
      <c r="D27" s="33"/>
      <c r="E27" s="33"/>
      <c r="F27" s="33"/>
      <c r="G27" s="33"/>
      <c r="H27" s="33"/>
      <c r="I27" s="33"/>
      <c r="J27" s="33"/>
      <c r="K27" s="33"/>
      <c r="L27" s="33"/>
      <c r="M27" s="33"/>
      <c r="N27" s="33"/>
      <c r="O27" s="33"/>
      <c r="P27" s="33"/>
      <c r="Q27" s="33"/>
      <c r="R27" s="33"/>
      <c r="S27" s="33"/>
      <c r="T27" s="33"/>
      <c r="U27" s="33"/>
    </row>
    <row r="28" spans="1:34">
      <c r="A28" s="12" t="s">
        <v>59</v>
      </c>
      <c r="B28" s="32" t="s">
        <v>60</v>
      </c>
      <c r="C28" s="32" t="s">
        <v>61</v>
      </c>
      <c r="D28" s="37" t="s">
        <v>62</v>
      </c>
      <c r="E28" s="37"/>
      <c r="F28" s="37"/>
      <c r="G28" s="37"/>
      <c r="H28" s="37"/>
      <c r="I28" s="37"/>
      <c r="J28" s="37"/>
      <c r="K28" s="37"/>
      <c r="L28" s="37"/>
      <c r="M28" s="37"/>
      <c r="N28" s="37"/>
      <c r="O28" s="37"/>
      <c r="P28" s="37"/>
      <c r="Q28" s="37"/>
      <c r="R28" s="37"/>
      <c r="S28" s="37"/>
      <c r="T28" s="37"/>
      <c r="U28" s="37"/>
    </row>
    <row r="29" spans="1:34" ht="15" thickBot="1">
      <c r="A29" s="12"/>
      <c r="B29" s="13" t="s">
        <v>198</v>
      </c>
      <c r="C29" s="13" t="s">
        <v>199</v>
      </c>
      <c r="D29" s="33" t="s">
        <v>65</v>
      </c>
      <c r="E29" s="33"/>
      <c r="F29" s="33"/>
      <c r="G29" s="33"/>
      <c r="H29" s="33"/>
      <c r="I29" s="33"/>
      <c r="J29" s="33"/>
      <c r="K29" s="33"/>
      <c r="L29" s="33"/>
      <c r="M29" s="33"/>
      <c r="N29" s="33"/>
      <c r="O29" s="33"/>
      <c r="P29" s="33"/>
      <c r="Q29" s="33"/>
      <c r="R29" s="33"/>
      <c r="S29" s="33"/>
      <c r="T29" s="33"/>
      <c r="U29" s="33"/>
    </row>
    <row r="30" spans="1:34">
      <c r="A30" s="14" t="s">
        <v>66</v>
      </c>
      <c r="B30" s="34" t="s">
        <v>200</v>
      </c>
      <c r="C30" s="34"/>
      <c r="D30" s="34"/>
      <c r="E30" s="34"/>
      <c r="F30" s="34"/>
      <c r="G30" s="34"/>
      <c r="H30" s="34"/>
      <c r="I30" s="34"/>
      <c r="J30" s="34"/>
      <c r="K30" s="34"/>
      <c r="L30" s="34"/>
      <c r="M30" s="34"/>
      <c r="N30" s="34"/>
      <c r="O30" s="34"/>
      <c r="P30" s="34"/>
      <c r="Q30" s="34"/>
      <c r="R30" s="34"/>
      <c r="S30" s="34"/>
      <c r="T30" s="34"/>
      <c r="U30" s="34"/>
    </row>
    <row r="31" spans="1:34">
      <c r="A31" s="14" t="s">
        <v>68</v>
      </c>
      <c r="B31" s="33" t="s">
        <v>201</v>
      </c>
      <c r="C31" s="33"/>
      <c r="D31" s="33"/>
      <c r="E31" s="33"/>
      <c r="F31" s="33"/>
      <c r="G31" s="33"/>
      <c r="H31" s="33"/>
      <c r="I31" s="33"/>
      <c r="J31" s="33"/>
      <c r="K31" s="33"/>
      <c r="L31" s="33"/>
      <c r="M31" s="33"/>
      <c r="N31" s="33"/>
      <c r="O31" s="33"/>
      <c r="P31" s="33"/>
      <c r="Q31" s="33"/>
      <c r="R31" s="33"/>
      <c r="S31" s="33"/>
      <c r="T31" s="33"/>
      <c r="U31" s="33"/>
    </row>
    <row r="32" spans="1:34">
      <c r="A32" s="14" t="s">
        <v>70</v>
      </c>
      <c r="B32" s="32" t="s">
        <v>71</v>
      </c>
      <c r="C32" s="32" t="s">
        <v>72</v>
      </c>
      <c r="D32" s="15"/>
      <c r="E32" s="15"/>
      <c r="F32" s="15"/>
      <c r="G32" s="15"/>
      <c r="H32" s="15"/>
      <c r="I32" s="15"/>
      <c r="J32" s="15"/>
      <c r="K32" s="15"/>
      <c r="L32" s="15"/>
      <c r="M32" s="15"/>
      <c r="N32" s="15"/>
      <c r="O32" s="15"/>
      <c r="P32" s="15"/>
      <c r="Q32" s="15"/>
      <c r="R32" s="15"/>
      <c r="S32" s="15"/>
      <c r="T32" s="15"/>
      <c r="U32" s="15"/>
    </row>
    <row r="33" spans="1:21">
      <c r="A33" s="14"/>
      <c r="B33" s="16">
        <v>50000</v>
      </c>
      <c r="C33" s="16">
        <v>6</v>
      </c>
      <c r="D33" s="17"/>
      <c r="E33" s="17"/>
      <c r="F33" s="17"/>
      <c r="G33" s="17"/>
      <c r="H33" s="17"/>
      <c r="I33" s="17"/>
      <c r="J33" s="17"/>
      <c r="K33" s="17"/>
      <c r="L33" s="17"/>
      <c r="M33" s="17"/>
      <c r="N33" s="17"/>
      <c r="O33" s="17"/>
      <c r="P33" s="17"/>
      <c r="Q33" s="17"/>
      <c r="R33" s="17"/>
      <c r="S33" s="17"/>
      <c r="T33" s="17"/>
      <c r="U33" s="17"/>
    </row>
    <row r="35" spans="1:21" ht="26.45">
      <c r="A35" s="18" t="s">
        <v>73</v>
      </c>
      <c r="B35" s="19" t="s">
        <v>202</v>
      </c>
      <c r="C35" s="19" t="s">
        <v>203</v>
      </c>
      <c r="D35" s="19" t="s">
        <v>204</v>
      </c>
      <c r="E35" s="19" t="s">
        <v>205</v>
      </c>
      <c r="F35" s="19" t="s">
        <v>206</v>
      </c>
      <c r="G35" s="19" t="s">
        <v>207</v>
      </c>
      <c r="H35" s="19"/>
      <c r="I35" s="19"/>
      <c r="J35" s="19"/>
      <c r="K35" s="19"/>
      <c r="L35" s="19"/>
      <c r="M35" s="19"/>
      <c r="N35" s="19"/>
      <c r="O35" s="19"/>
      <c r="P35" s="19"/>
      <c r="Q35" s="19"/>
      <c r="R35" s="19"/>
      <c r="S35" s="19"/>
      <c r="T35" s="19"/>
      <c r="U35" s="19"/>
    </row>
    <row r="36" spans="1:21" ht="39.6">
      <c r="A36" s="18" t="s">
        <v>106</v>
      </c>
      <c r="B36" s="20" t="s">
        <v>208</v>
      </c>
      <c r="C36" s="20" t="s">
        <v>209</v>
      </c>
      <c r="D36" s="20" t="s">
        <v>210</v>
      </c>
      <c r="E36" s="20" t="s">
        <v>211</v>
      </c>
      <c r="F36" s="20" t="s">
        <v>212</v>
      </c>
      <c r="G36" s="20" t="s">
        <v>213</v>
      </c>
      <c r="H36" s="20"/>
      <c r="I36" s="20"/>
      <c r="J36" s="20"/>
      <c r="K36" s="20"/>
      <c r="L36" s="20"/>
      <c r="M36" s="20"/>
      <c r="N36" s="20"/>
      <c r="O36" s="20"/>
      <c r="P36" s="20"/>
      <c r="Q36" s="20"/>
      <c r="R36" s="20"/>
      <c r="S36" s="20"/>
      <c r="T36" s="20"/>
      <c r="U36" s="20"/>
    </row>
    <row r="37" spans="1:21">
      <c r="A37" s="18" t="s">
        <v>139</v>
      </c>
      <c r="B37" s="20" t="s">
        <v>214</v>
      </c>
      <c r="C37" s="20" t="s">
        <v>215</v>
      </c>
      <c r="D37" s="20" t="s">
        <v>216</v>
      </c>
      <c r="E37" s="20" t="s">
        <v>217</v>
      </c>
      <c r="F37" s="20" t="s">
        <v>216</v>
      </c>
      <c r="G37" s="20" t="s">
        <v>214</v>
      </c>
      <c r="H37" s="20"/>
      <c r="I37" s="20"/>
      <c r="J37" s="20"/>
      <c r="K37" s="20"/>
      <c r="L37" s="20"/>
      <c r="M37" s="20"/>
      <c r="N37" s="20"/>
      <c r="O37" s="20"/>
      <c r="P37" s="20"/>
      <c r="Q37" s="20"/>
      <c r="R37" s="20"/>
      <c r="S37" s="20"/>
      <c r="T37" s="20"/>
      <c r="U37" s="20"/>
    </row>
    <row r="38" spans="1:21">
      <c r="A38" s="18" t="s">
        <v>143</v>
      </c>
      <c r="B38" s="20" t="s">
        <v>145</v>
      </c>
      <c r="C38" s="20" t="s">
        <v>144</v>
      </c>
      <c r="D38" s="20" t="s">
        <v>144</v>
      </c>
      <c r="E38" s="20" t="s">
        <v>144</v>
      </c>
      <c r="F38" s="20" t="s">
        <v>144</v>
      </c>
      <c r="G38" s="20" t="s">
        <v>146</v>
      </c>
      <c r="H38" s="20"/>
      <c r="I38" s="20"/>
      <c r="J38" s="20"/>
      <c r="K38" s="20"/>
      <c r="L38" s="20"/>
      <c r="M38" s="20"/>
      <c r="N38" s="20"/>
      <c r="O38" s="20"/>
      <c r="P38" s="20"/>
      <c r="Q38" s="20"/>
      <c r="R38" s="20"/>
      <c r="S38" s="20"/>
      <c r="T38" s="20"/>
      <c r="U38" s="20"/>
    </row>
    <row r="39" spans="1:21" ht="26.45">
      <c r="A39" s="21" t="s">
        <v>148</v>
      </c>
      <c r="B39" s="20" t="s">
        <v>218</v>
      </c>
      <c r="C39" s="20" t="s">
        <v>219</v>
      </c>
      <c r="D39" s="20" t="s">
        <v>220</v>
      </c>
      <c r="E39" s="20" t="s">
        <v>221</v>
      </c>
      <c r="F39" s="20" t="s">
        <v>222</v>
      </c>
      <c r="G39" s="20" t="s">
        <v>223</v>
      </c>
      <c r="H39" s="20"/>
      <c r="I39" s="20"/>
      <c r="J39" s="20"/>
      <c r="K39" s="20"/>
      <c r="L39" s="20"/>
      <c r="M39" s="20"/>
      <c r="N39" s="20"/>
      <c r="O39" s="20"/>
      <c r="P39" s="20"/>
      <c r="Q39" s="20"/>
      <c r="R39" s="20"/>
      <c r="S39" s="20"/>
      <c r="T39" s="20"/>
      <c r="U39" s="20"/>
    </row>
    <row r="40" spans="1:21">
      <c r="A40" s="21" t="s">
        <v>170</v>
      </c>
      <c r="B40" s="22">
        <v>50000</v>
      </c>
      <c r="C40" s="22">
        <v>365</v>
      </c>
      <c r="D40" s="22">
        <v>8</v>
      </c>
      <c r="E40" s="22" t="s">
        <v>173</v>
      </c>
      <c r="F40" s="22">
        <v>3</v>
      </c>
      <c r="G40" s="22">
        <v>12400</v>
      </c>
      <c r="H40" s="22"/>
      <c r="I40" s="22"/>
      <c r="J40" s="22"/>
      <c r="K40" s="22"/>
      <c r="L40" s="22"/>
      <c r="M40" s="22"/>
      <c r="N40" s="22"/>
      <c r="O40" s="22"/>
      <c r="P40" s="22"/>
      <c r="Q40" s="22"/>
      <c r="R40" s="22"/>
      <c r="S40" s="22"/>
      <c r="T40" s="22"/>
      <c r="U40" s="22"/>
    </row>
    <row r="41" spans="1:21" ht="79.150000000000006">
      <c r="A41" s="21" t="s">
        <v>171</v>
      </c>
      <c r="B41" s="20" t="s">
        <v>173</v>
      </c>
      <c r="C41" s="20" t="s">
        <v>173</v>
      </c>
      <c r="D41" s="20" t="s">
        <v>224</v>
      </c>
      <c r="E41" s="20" t="s">
        <v>173</v>
      </c>
      <c r="F41" s="20" t="s">
        <v>225</v>
      </c>
      <c r="G41" s="20" t="s">
        <v>173</v>
      </c>
      <c r="H41" s="20"/>
      <c r="I41" s="20"/>
      <c r="J41" s="20"/>
      <c r="K41" s="20"/>
      <c r="L41" s="20"/>
      <c r="M41" s="20"/>
      <c r="N41" s="20"/>
      <c r="O41" s="20"/>
      <c r="P41" s="20"/>
      <c r="Q41" s="20"/>
      <c r="R41" s="20"/>
      <c r="S41" s="20"/>
      <c r="T41" s="20"/>
      <c r="U41" s="20"/>
    </row>
    <row r="42" spans="1:21">
      <c r="A42" s="21" t="s">
        <v>185</v>
      </c>
      <c r="B42" s="20" t="s">
        <v>186</v>
      </c>
      <c r="C42" s="20" t="s">
        <v>186</v>
      </c>
      <c r="D42" s="20" t="s">
        <v>186</v>
      </c>
      <c r="E42" s="20" t="s">
        <v>226</v>
      </c>
      <c r="F42" s="20" t="s">
        <v>186</v>
      </c>
      <c r="G42" s="20" t="s">
        <v>227</v>
      </c>
      <c r="H42" s="20"/>
      <c r="I42" s="20"/>
      <c r="J42" s="20"/>
      <c r="K42" s="20"/>
      <c r="L42" s="20"/>
      <c r="M42" s="20"/>
      <c r="N42" s="20"/>
      <c r="O42" s="20"/>
      <c r="P42" s="20"/>
      <c r="Q42" s="20"/>
      <c r="R42" s="20"/>
      <c r="S42" s="20"/>
      <c r="T42" s="20"/>
      <c r="U42" s="20"/>
    </row>
    <row r="43" spans="1:21" ht="118.9">
      <c r="A43" s="21" t="s">
        <v>187</v>
      </c>
      <c r="B43" s="20" t="s">
        <v>228</v>
      </c>
      <c r="C43" s="20" t="s">
        <v>228</v>
      </c>
      <c r="D43" s="20" t="s">
        <v>228</v>
      </c>
      <c r="E43" s="20" t="s">
        <v>229</v>
      </c>
      <c r="F43" s="20" t="s">
        <v>228</v>
      </c>
      <c r="G43" s="20" t="s">
        <v>230</v>
      </c>
      <c r="H43" s="20"/>
      <c r="I43" s="20"/>
      <c r="J43" s="20"/>
      <c r="K43" s="20"/>
      <c r="L43" s="20"/>
      <c r="M43" s="20"/>
      <c r="N43" s="20"/>
      <c r="O43" s="20"/>
      <c r="P43" s="20"/>
      <c r="Q43" s="20"/>
      <c r="R43" s="20"/>
      <c r="S43" s="20"/>
      <c r="T43" s="20"/>
      <c r="U43" s="20"/>
    </row>
  </sheetData>
  <mergeCells count="14">
    <mergeCell ref="B31:U31"/>
    <mergeCell ref="D7:U7"/>
    <mergeCell ref="B8:U8"/>
    <mergeCell ref="B9:U9"/>
    <mergeCell ref="A1:U1"/>
    <mergeCell ref="A2:U2"/>
    <mergeCell ref="B4:U4"/>
    <mergeCell ref="B5:U5"/>
    <mergeCell ref="D6:U6"/>
    <mergeCell ref="B26:U26"/>
    <mergeCell ref="B27:U27"/>
    <mergeCell ref="D28:U28"/>
    <mergeCell ref="D29:U29"/>
    <mergeCell ref="B30:U30"/>
  </mergeCells>
  <pageMargins left="0.3" right="0.3" top="0.4" bottom="0.4"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43963"/>
    <pageSetUpPr fitToPage="1"/>
  </sheetPr>
  <dimension ref="A1:F14"/>
  <sheetViews>
    <sheetView showGridLines="0" zoomScaleNormal="100" workbookViewId="0">
      <pane ySplit="4" topLeftCell="A5" activePane="bottomLeft" state="frozen"/>
      <selection pane="bottomLeft" sqref="A1:F1"/>
    </sheetView>
  </sheetViews>
  <sheetFormatPr defaultColWidth="8.7109375" defaultRowHeight="14.45"/>
  <cols>
    <col min="1" max="5" width="16" customWidth="1"/>
    <col min="6" max="6" width="40" customWidth="1"/>
  </cols>
  <sheetData>
    <row r="1" spans="1:6" ht="21">
      <c r="A1" s="35" t="s">
        <v>10</v>
      </c>
      <c r="B1" s="35"/>
      <c r="C1" s="35"/>
      <c r="D1" s="35"/>
      <c r="E1" s="35"/>
      <c r="F1" s="35"/>
    </row>
    <row r="2" spans="1:6">
      <c r="A2" s="36" t="s">
        <v>231</v>
      </c>
      <c r="B2" s="36"/>
      <c r="C2" s="36"/>
      <c r="D2" s="36"/>
      <c r="E2" s="36"/>
      <c r="F2" s="36"/>
    </row>
    <row r="4" spans="1:6" ht="27.6">
      <c r="A4" s="24" t="s">
        <v>232</v>
      </c>
      <c r="B4" s="24" t="s">
        <v>233</v>
      </c>
      <c r="C4" s="24" t="s">
        <v>234</v>
      </c>
      <c r="D4" s="24" t="s">
        <v>235</v>
      </c>
      <c r="E4" s="24" t="s">
        <v>236</v>
      </c>
      <c r="F4" s="24" t="s">
        <v>237</v>
      </c>
    </row>
    <row r="5" spans="1:6" ht="26.45">
      <c r="A5" s="20" t="s">
        <v>238</v>
      </c>
      <c r="B5" s="20" t="s">
        <v>207</v>
      </c>
      <c r="C5" s="20" t="s">
        <v>239</v>
      </c>
      <c r="D5" s="20" t="s">
        <v>207</v>
      </c>
      <c r="E5" s="20" t="s">
        <v>240</v>
      </c>
      <c r="F5" s="20" t="s">
        <v>241</v>
      </c>
    </row>
    <row r="6" spans="1:6">
      <c r="A6" s="23"/>
      <c r="B6" s="23"/>
      <c r="C6" s="23"/>
      <c r="D6" s="23"/>
      <c r="E6" s="23"/>
      <c r="F6" s="23"/>
    </row>
    <row r="7" spans="1:6">
      <c r="A7" s="23"/>
      <c r="B7" s="23"/>
      <c r="C7" s="23"/>
      <c r="D7" s="23"/>
      <c r="E7" s="23"/>
      <c r="F7" s="23"/>
    </row>
    <row r="8" spans="1:6">
      <c r="A8" s="23"/>
      <c r="B8" s="23"/>
      <c r="C8" s="23"/>
      <c r="D8" s="23"/>
      <c r="E8" s="23"/>
      <c r="F8" s="23"/>
    </row>
    <row r="9" spans="1:6">
      <c r="A9" s="23"/>
      <c r="B9" s="23"/>
      <c r="C9" s="23"/>
      <c r="D9" s="23"/>
      <c r="E9" s="23"/>
      <c r="F9" s="23"/>
    </row>
    <row r="10" spans="1:6">
      <c r="A10" s="23"/>
      <c r="B10" s="23"/>
      <c r="C10" s="23"/>
      <c r="D10" s="23"/>
      <c r="E10" s="23"/>
      <c r="F10" s="23"/>
    </row>
    <row r="11" spans="1:6">
      <c r="A11" s="23"/>
      <c r="B11" s="23"/>
      <c r="C11" s="23"/>
      <c r="D11" s="23"/>
      <c r="E11" s="23"/>
      <c r="F11" s="23"/>
    </row>
    <row r="12" spans="1:6">
      <c r="A12" s="23"/>
      <c r="B12" s="23"/>
      <c r="C12" s="23"/>
      <c r="D12" s="23"/>
      <c r="E12" s="23"/>
      <c r="F12" s="23"/>
    </row>
    <row r="13" spans="1:6">
      <c r="A13" s="23"/>
      <c r="B13" s="23"/>
      <c r="C13" s="23"/>
      <c r="D13" s="23"/>
      <c r="E13" s="23"/>
      <c r="F13" s="23"/>
    </row>
    <row r="14" spans="1:6">
      <c r="A14" s="23"/>
      <c r="B14" s="23"/>
      <c r="C14" s="23"/>
      <c r="D14" s="23"/>
      <c r="E14" s="23"/>
      <c r="F14" s="23"/>
    </row>
  </sheetData>
  <autoFilter ref="A4:F4" xr:uid="{00000000-0009-0000-0000-000003000000}"/>
  <mergeCells count="2">
    <mergeCell ref="A1:F1"/>
    <mergeCell ref="A2:F2"/>
  </mergeCells>
  <dataValidations count="1">
    <dataValidation type="list" allowBlank="1" sqref="E5:E15" xr:uid="{00000000-0002-0000-0300-000000000000}">
      <formula1>"One-to-One,One-to-Many,Many-to-Many"</formula1>
      <formula2>0</formula2>
    </dataValidation>
  </dataValidations>
  <pageMargins left="0.3" right="0.3" top="0.4" bottom="0.4"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43963"/>
    <pageSetUpPr fitToPage="1"/>
  </sheetPr>
  <dimension ref="A1:F20"/>
  <sheetViews>
    <sheetView showGridLines="0" zoomScaleNormal="100" workbookViewId="0">
      <pane ySplit="4" topLeftCell="A5" activePane="bottomLeft" state="frozen"/>
      <selection pane="bottomLeft" activeCell="C12" sqref="C12"/>
    </sheetView>
  </sheetViews>
  <sheetFormatPr defaultColWidth="8.7109375" defaultRowHeight="14.45"/>
  <cols>
    <col min="1" max="1" width="6" customWidth="1"/>
    <col min="2" max="2" width="20" customWidth="1"/>
    <col min="3" max="3" width="40" customWidth="1"/>
    <col min="4" max="4" width="12" customWidth="1"/>
    <col min="5" max="5" width="34" customWidth="1"/>
    <col min="6" max="6" width="18" customWidth="1"/>
  </cols>
  <sheetData>
    <row r="1" spans="1:6" ht="21">
      <c r="A1" s="35" t="s">
        <v>12</v>
      </c>
      <c r="B1" s="35"/>
      <c r="C1" s="35"/>
      <c r="D1" s="35"/>
      <c r="E1" s="35"/>
      <c r="F1" s="35"/>
    </row>
    <row r="2" spans="1:6">
      <c r="A2" s="36" t="s">
        <v>242</v>
      </c>
      <c r="B2" s="36"/>
      <c r="C2" s="36"/>
      <c r="D2" s="36"/>
      <c r="E2" s="36"/>
      <c r="F2" s="36"/>
    </row>
    <row r="4" spans="1:6" ht="27.6">
      <c r="A4" s="24" t="s">
        <v>243</v>
      </c>
      <c r="B4" s="24" t="s">
        <v>244</v>
      </c>
      <c r="C4" s="24" t="s">
        <v>245</v>
      </c>
      <c r="D4" s="24" t="s">
        <v>246</v>
      </c>
      <c r="E4" s="24" t="s">
        <v>247</v>
      </c>
      <c r="F4" s="24" t="s">
        <v>248</v>
      </c>
    </row>
    <row r="5" spans="1:6" ht="39.6">
      <c r="A5" s="20">
        <v>1</v>
      </c>
      <c r="B5" s="20" t="s">
        <v>249</v>
      </c>
      <c r="C5" s="20" t="s">
        <v>250</v>
      </c>
      <c r="D5" s="20" t="s">
        <v>251</v>
      </c>
      <c r="E5" s="20" t="s">
        <v>252</v>
      </c>
      <c r="F5" s="20" t="s">
        <v>253</v>
      </c>
    </row>
    <row r="6" spans="1:6">
      <c r="A6" s="23">
        <f t="shared" ref="A6:A20" si="0">ROW()-5</f>
        <v>1</v>
      </c>
      <c r="B6" s="23"/>
      <c r="C6" s="23"/>
      <c r="D6" s="23"/>
      <c r="E6" s="23"/>
      <c r="F6" s="23"/>
    </row>
    <row r="7" spans="1:6">
      <c r="A7" s="23">
        <f t="shared" si="0"/>
        <v>2</v>
      </c>
      <c r="B7" s="23"/>
      <c r="C7" s="23"/>
      <c r="D7" s="23"/>
      <c r="E7" s="23"/>
      <c r="F7" s="23"/>
    </row>
    <row r="8" spans="1:6">
      <c r="A8" s="23">
        <f t="shared" si="0"/>
        <v>3</v>
      </c>
      <c r="B8" s="23"/>
      <c r="C8" s="23"/>
      <c r="D8" s="23"/>
      <c r="E8" s="23"/>
      <c r="F8" s="23"/>
    </row>
    <row r="9" spans="1:6">
      <c r="A9" s="23">
        <f t="shared" si="0"/>
        <v>4</v>
      </c>
      <c r="B9" s="23"/>
      <c r="C9" s="23"/>
      <c r="D9" s="23"/>
      <c r="E9" s="23"/>
      <c r="F9" s="23"/>
    </row>
    <row r="10" spans="1:6">
      <c r="A10" s="23">
        <f t="shared" si="0"/>
        <v>5</v>
      </c>
      <c r="B10" s="23"/>
      <c r="C10" s="23"/>
      <c r="D10" s="23"/>
      <c r="E10" s="23"/>
      <c r="F10" s="23"/>
    </row>
    <row r="11" spans="1:6">
      <c r="A11" s="23">
        <f t="shared" si="0"/>
        <v>6</v>
      </c>
      <c r="B11" s="23"/>
      <c r="C11" s="23"/>
      <c r="D11" s="23"/>
      <c r="E11" s="23"/>
      <c r="F11" s="23"/>
    </row>
    <row r="12" spans="1:6">
      <c r="A12" s="23">
        <f t="shared" si="0"/>
        <v>7</v>
      </c>
      <c r="B12" s="23"/>
      <c r="C12" s="23"/>
      <c r="D12" s="23"/>
      <c r="E12" s="23"/>
      <c r="F12" s="23"/>
    </row>
    <row r="13" spans="1:6">
      <c r="A13" s="23">
        <f t="shared" si="0"/>
        <v>8</v>
      </c>
      <c r="B13" s="23"/>
      <c r="C13" s="23"/>
      <c r="D13" s="23"/>
      <c r="E13" s="23"/>
      <c r="F13" s="23"/>
    </row>
    <row r="14" spans="1:6">
      <c r="A14" s="23">
        <f t="shared" si="0"/>
        <v>9</v>
      </c>
      <c r="B14" s="23"/>
      <c r="C14" s="23"/>
      <c r="D14" s="23"/>
      <c r="E14" s="23"/>
      <c r="F14" s="23"/>
    </row>
    <row r="15" spans="1:6">
      <c r="A15" s="23">
        <f t="shared" si="0"/>
        <v>10</v>
      </c>
      <c r="B15" s="23"/>
      <c r="C15" s="23"/>
      <c r="D15" s="23"/>
      <c r="E15" s="23"/>
      <c r="F15" s="23"/>
    </row>
    <row r="16" spans="1:6">
      <c r="A16" s="23">
        <f t="shared" si="0"/>
        <v>11</v>
      </c>
      <c r="B16" s="23"/>
      <c r="C16" s="23"/>
      <c r="D16" s="23"/>
      <c r="E16" s="23"/>
      <c r="F16" s="23"/>
    </row>
    <row r="17" spans="1:6">
      <c r="A17" s="23">
        <f t="shared" si="0"/>
        <v>12</v>
      </c>
      <c r="B17" s="23"/>
      <c r="C17" s="23"/>
      <c r="D17" s="23"/>
      <c r="E17" s="23"/>
      <c r="F17" s="23"/>
    </row>
    <row r="18" spans="1:6">
      <c r="A18" s="23">
        <f t="shared" si="0"/>
        <v>13</v>
      </c>
      <c r="B18" s="23"/>
      <c r="C18" s="23"/>
      <c r="D18" s="23"/>
      <c r="E18" s="23"/>
      <c r="F18" s="23"/>
    </row>
    <row r="19" spans="1:6">
      <c r="A19" s="23">
        <f t="shared" si="0"/>
        <v>14</v>
      </c>
      <c r="B19" s="23"/>
      <c r="C19" s="23"/>
      <c r="D19" s="23"/>
      <c r="E19" s="23"/>
      <c r="F19" s="23"/>
    </row>
    <row r="20" spans="1:6">
      <c r="A20" s="23">
        <f t="shared" si="0"/>
        <v>15</v>
      </c>
      <c r="B20" s="23"/>
      <c r="C20" s="23"/>
      <c r="D20" s="23"/>
      <c r="E20" s="23"/>
      <c r="F20" s="23"/>
    </row>
  </sheetData>
  <autoFilter ref="A4:F4" xr:uid="{00000000-0009-0000-0000-000004000000}"/>
  <mergeCells count="2">
    <mergeCell ref="A1:F1"/>
    <mergeCell ref="A2:F2"/>
  </mergeCells>
  <dataValidations count="2">
    <dataValidation type="list" allowBlank="1" sqref="D5:D21" xr:uid="{00000000-0002-0000-0400-000000000000}">
      <formula1>"Low,Medium,High,Critical"</formula1>
      <formula2>0</formula2>
    </dataValidation>
    <dataValidation type="list" allowBlank="1" sqref="F5:F21" xr:uid="{00000000-0002-0000-0400-000001000000}">
      <formula1>"Open,Resolved,Accepted / Won't Fix,Needs Discussion"</formula1>
      <formula2>0</formula2>
    </dataValidation>
  </dataValidations>
  <pageMargins left="0.3" right="0.3" top="0.4" bottom="0.4"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43963"/>
    <pageSetUpPr fitToPage="1"/>
  </sheetPr>
  <dimension ref="B2:C17"/>
  <sheetViews>
    <sheetView showGridLines="0" zoomScaleNormal="100" workbookViewId="0"/>
  </sheetViews>
  <sheetFormatPr defaultColWidth="8.7109375" defaultRowHeight="14.45"/>
  <cols>
    <col min="1" max="1" width="3" customWidth="1"/>
    <col min="2" max="2" width="34" customWidth="1"/>
    <col min="3" max="3" width="70" customWidth="1"/>
  </cols>
  <sheetData>
    <row r="2" spans="2:3" ht="21">
      <c r="B2" s="1" t="s">
        <v>14</v>
      </c>
    </row>
    <row r="3" spans="2:3" ht="27.75" customHeight="1">
      <c r="B3" s="2" t="s">
        <v>254</v>
      </c>
    </row>
    <row r="5" spans="2:3">
      <c r="B5" s="25" t="s">
        <v>255</v>
      </c>
      <c r="C5" s="5">
        <f>COUNTA('1. Data Dictionary'!#REF!,'1. Data Dictionary'!#REF!)</f>
        <v>2</v>
      </c>
    </row>
    <row r="6" spans="2:3">
      <c r="B6" s="25" t="s">
        <v>256</v>
      </c>
      <c r="C6" s="26" t="e">
        <f>SUM('1. Data Dictionary'!#REF!,'1. Data Dictionary'!#REF!)</f>
        <v>#REF!</v>
      </c>
    </row>
    <row r="7" spans="2:3">
      <c r="B7" s="25" t="s">
        <v>257</v>
      </c>
      <c r="C7" s="5">
        <f>COUNTA('1. Data Dictionary'!#REF!)+COUNTA('1. Data Dictionary'!#REF!)</f>
        <v>2</v>
      </c>
    </row>
    <row r="8" spans="2:3">
      <c r="B8" s="25" t="s">
        <v>258</v>
      </c>
      <c r="C8" s="5">
        <f>COUNTIF('3. Data Quality Log'!F6:F20,"Open")</f>
        <v>0</v>
      </c>
    </row>
    <row r="10" spans="2:3" ht="39.75" customHeight="1">
      <c r="B10" s="3" t="s">
        <v>259</v>
      </c>
      <c r="C10" s="27" t="s">
        <v>260</v>
      </c>
    </row>
    <row r="11" spans="2:3" ht="39.75" customHeight="1">
      <c r="B11" s="3" t="s">
        <v>261</v>
      </c>
      <c r="C11" s="27"/>
    </row>
    <row r="12" spans="2:3" ht="39.75" customHeight="1">
      <c r="B12" s="3" t="s">
        <v>262</v>
      </c>
      <c r="C12" s="27" t="s">
        <v>263</v>
      </c>
    </row>
    <row r="13" spans="2:3" ht="39.75" customHeight="1">
      <c r="B13" s="3" t="s">
        <v>264</v>
      </c>
      <c r="C13" s="27" t="s">
        <v>265</v>
      </c>
    </row>
    <row r="14" spans="2:3" ht="39.75" customHeight="1">
      <c r="B14" s="3" t="s">
        <v>266</v>
      </c>
      <c r="C14" s="27"/>
    </row>
    <row r="16" spans="2:3">
      <c r="B16" s="25" t="s">
        <v>267</v>
      </c>
      <c r="C16" s="28"/>
    </row>
    <row r="17" spans="2:3">
      <c r="B17" s="25" t="s">
        <v>268</v>
      </c>
      <c r="C17" s="28"/>
    </row>
  </sheetData>
  <pageMargins left="0.3" right="0.3" top="0.4" bottom="0.4"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0</cp:revision>
  <dcterms:created xsi:type="dcterms:W3CDTF">2026-08-03T06:53:21Z</dcterms:created>
  <dcterms:modified xsi:type="dcterms:W3CDTF">2026-08-19T08:45:45Z</dcterms:modified>
  <cp:category/>
  <cp:contentStatus/>
</cp:coreProperties>
</file>